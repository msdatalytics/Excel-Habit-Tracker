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<sst xmlns="http://schemas.openxmlformats.org/spreadsheetml/2006/main" count="60" uniqueCount="43">
  <si>
    <t>January</t>
  </si>
  <si>
    <t>SAKSHI'S HABIT TRACKER</t>
  </si>
  <si>
    <t>Overview Daily Progress</t>
  </si>
  <si>
    <t>February</t>
  </si>
  <si>
    <t>Completed</t>
  </si>
  <si>
    <t>March</t>
  </si>
  <si>
    <t>Left</t>
  </si>
  <si>
    <t>April</t>
  </si>
  <si>
    <t>Target</t>
  </si>
  <si>
    <t>May</t>
  </si>
  <si>
    <t>June</t>
  </si>
  <si>
    <t>July</t>
  </si>
  <si>
    <t>CALENDER SETTINGS</t>
  </si>
  <si>
    <t>August</t>
  </si>
  <si>
    <t>YEAR</t>
  </si>
  <si>
    <t>September</t>
  </si>
  <si>
    <t>MONTH</t>
  </si>
  <si>
    <t>October</t>
  </si>
  <si>
    <t>November</t>
  </si>
  <si>
    <t>OVERVIEW</t>
  </si>
  <si>
    <t>WEEK 1</t>
  </si>
  <si>
    <t>WEEK 2</t>
  </si>
  <si>
    <t>WEEK 3</t>
  </si>
  <si>
    <t>WEEK 4</t>
  </si>
  <si>
    <t>WEEK 5</t>
  </si>
  <si>
    <t>December</t>
  </si>
  <si>
    <t>Top Daily Habits</t>
  </si>
  <si>
    <t>COMPLETED</t>
  </si>
  <si>
    <t>GOAL</t>
  </si>
  <si>
    <t>LEFT</t>
  </si>
  <si>
    <t>WEEKLY PROGRESS</t>
  </si>
  <si>
    <t>Daily Habits</t>
  </si>
  <si>
    <t>GOALS</t>
  </si>
  <si>
    <t>Progress</t>
  </si>
  <si>
    <t>Gym</t>
  </si>
  <si>
    <t>SQL Question Daily</t>
  </si>
  <si>
    <t>Swim</t>
  </si>
  <si>
    <t>Applications</t>
  </si>
  <si>
    <t>Study RAG &amp; LLMs</t>
  </si>
  <si>
    <t>Eating Healthy</t>
  </si>
  <si>
    <t>Stretching</t>
  </si>
  <si>
    <t>Revision</t>
  </si>
  <si>
    <t>Sleep Early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</si>
</sst>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d"/>
  </numFmts>
  <fonts count="14">
    <font>
      <sz val="10.0"/>
      <color rgb="FF000000"/>
      <name val="Arial"/>
      <scheme val="minor"/>
    </font>
    <font>
      <color theme="1"/>
      <name val="Calibri"/>
    </font>
    <font>
      <color rgb="FFFFFFFF"/>
      <name val="Calibri"/>
    </font>
    <font>
      <color rgb="FFFFFFFF"/>
      <name val="Arial"/>
      <scheme val="minor"/>
    </font>
    <font>
      <b/>
      <sz val="14.0"/>
      <color theme="1"/>
      <name val="Calibri"/>
    </font>
    <font/>
    <font>
      <b/>
      <sz val="13.0"/>
      <color theme="1"/>
      <name val="Arial"/>
      <scheme val="minor"/>
    </font>
    <font>
      <b/>
      <color rgb="FFFFFFFF"/>
      <name val="Arial"/>
      <scheme val="minor"/>
    </font>
    <font>
      <sz val="8.0"/>
      <color theme="1"/>
      <name val="Calibri"/>
    </font>
    <font>
      <sz val="9.0"/>
      <color theme="1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sz val="13.0"/>
      <color theme="1"/>
      <name val="Arial"/>
      <scheme val="minor"/>
    </font>
    <font>
      <b/>
      <sz val="10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C6E2"/>
        <bgColor rgb="FFE6C6E2"/>
      </patternFill>
    </fill>
    <fill>
      <patternFill patternType="solid">
        <fgColor rgb="FFEA9999"/>
        <bgColor rgb="FFEA9999"/>
      </patternFill>
    </fill>
    <fill>
      <patternFill patternType="solid">
        <fgColor rgb="FFCEA2D0"/>
        <bgColor rgb="FFCEA2D0"/>
      </patternFill>
    </fill>
    <fill>
      <patternFill patternType="solid">
        <fgColor theme="7"/>
        <bgColor theme="7"/>
      </patternFill>
    </fill>
    <fill>
      <patternFill patternType="solid">
        <fgColor rgb="FFDAA8CE"/>
        <bgColor rgb="FFDAA8CE"/>
      </patternFill>
    </fill>
    <fill>
      <patternFill patternType="solid">
        <fgColor rgb="FFE1AAB4"/>
        <bgColor rgb="FFE1AAB4"/>
      </patternFill>
    </fill>
    <fill>
      <patternFill patternType="solid">
        <fgColor theme="0"/>
        <bgColor theme="0"/>
      </patternFill>
    </fill>
    <fill>
      <patternFill patternType="solid">
        <fgColor rgb="FFCBABBF"/>
        <bgColor rgb="FFCBAB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1" fillId="0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6" numFmtId="0" xfId="0" applyAlignment="1" applyFon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0" fillId="0" fontId="8" numFmtId="164" xfId="0" applyAlignment="1" applyFont="1" applyNumberFormat="1">
      <alignment horizontal="center" vertical="center"/>
    </xf>
    <xf borderId="2" fillId="3" fontId="1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2" fillId="7" fontId="1" numFmtId="0" xfId="0" applyAlignment="1" applyBorder="1" applyFill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5" fillId="0" fontId="1" numFmtId="165" xfId="0" applyAlignment="1" applyBorder="1" applyFont="1" applyNumberForma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4" fillId="0" fontId="10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6" fillId="0" fontId="9" numFmtId="0" xfId="0" applyAlignment="1" applyBorder="1" applyFont="1">
      <alignment readingOrder="0"/>
    </xf>
    <xf borderId="7" fillId="0" fontId="12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7" fillId="0" fontId="1" numFmtId="0" xfId="0" applyAlignment="1" applyBorder="1" applyFont="1">
      <alignment horizontal="center" vertical="center"/>
    </xf>
    <xf borderId="0" fillId="8" fontId="1" numFmtId="0" xfId="0" applyAlignment="1" applyFill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7" fontId="13" numFmtId="0" xfId="0" applyAlignment="1" applyFont="1">
      <alignment horizontal="center" readingOrder="0" textRotation="0" vertical="center"/>
    </xf>
    <xf borderId="0" fillId="10" fontId="13" numFmtId="0" xfId="0" applyAlignment="1" applyFill="1" applyFont="1">
      <alignment horizontal="center" readingOrder="0" textRotation="0" vertical="center"/>
    </xf>
    <xf borderId="0" fillId="3" fontId="10" numFmtId="0" xfId="0" applyAlignment="1" applyFont="1">
      <alignment horizontal="center" readingOrder="0" textRotation="0" vertical="center"/>
    </xf>
    <xf borderId="0" fillId="0" fontId="10" numFmtId="0" xfId="0" applyAlignment="1" applyFont="1">
      <alignment horizontal="center" vertical="center"/>
    </xf>
    <xf borderId="0" fillId="0" fontId="13" numFmtId="0" xfId="0" applyAlignment="1" applyFont="1">
      <alignment horizontal="center" readingOrder="0" textRotation="0" vertical="center"/>
    </xf>
    <xf borderId="0" fillId="0" fontId="10" numFmtId="10" xfId="0" applyAlignment="1" applyFont="1" applyNumberFormat="1">
      <alignment horizontal="center" readingOrder="0" textRotation="0" vertical="center"/>
    </xf>
    <xf borderId="0" fillId="0" fontId="1" numFmtId="0" xfId="0" applyAlignment="1" applyFont="1">
      <alignment horizontal="center" textRotation="0" vertical="center"/>
    </xf>
    <xf borderId="0" fillId="0" fontId="3" numFmtId="10" xfId="0" applyFont="1" applyNumberFormat="1"/>
    <xf borderId="0" fillId="0" fontId="2" numFmtId="10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E6C6E2">
                <a:alpha val="30000"/>
              </a:srgbClr>
            </a:solidFill>
            <a:ln cmpd="sng">
              <a:solidFill>
                <a:srgbClr val="E6C6E2"/>
              </a:solidFill>
            </a:ln>
          </c:spPr>
          <c:val>
            <c:numRef>
              <c:f>Sheet1!$I$12:$AM$12</c:f>
              <c:numCache/>
            </c:numRef>
          </c:val>
        </c:ser>
        <c:axId val="76237996"/>
        <c:axId val="925797619"/>
      </c:areaChart>
      <c:catAx>
        <c:axId val="76237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25797619"/>
      </c:catAx>
      <c:valAx>
        <c:axId val="925797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37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C6E2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CEA2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Sheet1!$BA$2:$BA$4</c:f>
            </c:strRef>
          </c:cat>
          <c:val>
            <c:numRef>
              <c:f>Sheet1!$BB$2:$BB$4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0</xdr:row>
      <xdr:rowOff>152400</xdr:rowOff>
    </xdr:from>
    <xdr:ext cx="9982200" cy="1962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40</xdr:col>
      <xdr:colOff>9525</xdr:colOff>
      <xdr:row>3</xdr:row>
      <xdr:rowOff>9525</xdr:rowOff>
    </xdr:from>
    <xdr:ext cx="2695575" cy="1962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C6E2"/>
      </a:accent1>
      <a:accent2>
        <a:srgbClr val="EA9999"/>
      </a:accent2>
      <a:accent3>
        <a:srgbClr val="CEA2D0"/>
      </a:accent3>
      <a:accent4>
        <a:srgbClr val="EA9999"/>
      </a:accent4>
      <a:accent5>
        <a:srgbClr val="AE75A5"/>
      </a:accent5>
      <a:accent6>
        <a:srgbClr val="D1B3DE"/>
      </a:accent6>
      <a:hlink>
        <a:srgbClr val="DAA8CE"/>
      </a:hlink>
      <a:folHlink>
        <a:srgbClr val="DAA8C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40" width="4.13"/>
    <col customWidth="1" min="41" max="41" width="9.63"/>
    <col customWidth="1" min="42" max="42" width="12.5"/>
    <col customWidth="1" min="43" max="43" width="13.0"/>
    <col customWidth="1" min="44" max="44" width="9.63"/>
    <col customWidth="1" min="45" max="45" width="10.63"/>
    <col customWidth="1" min="46" max="46" width="4.75"/>
    <col customWidth="1" min="47" max="49" width="4.13"/>
    <col customWidth="1" min="50" max="50" width="7.75"/>
    <col customWidth="1" min="51" max="51" width="8.5"/>
    <col customWidth="1" min="52" max="52" width="9.38"/>
    <col customWidth="1" min="53" max="53" width="10.25"/>
    <col customWidth="1" min="54" max="54" width="16.13"/>
    <col customWidth="1" min="55" max="55" width="12.5"/>
    <col customWidth="1" min="56" max="199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P1" s="1"/>
      <c r="AQ1" s="1"/>
      <c r="AR1" s="2" t="s">
        <v>0</v>
      </c>
      <c r="AU1" s="2">
        <v>1.0</v>
      </c>
      <c r="AV1" s="1"/>
      <c r="AW1" s="1"/>
      <c r="AX1" s="3"/>
      <c r="AY1" s="3"/>
      <c r="AZ1" s="4"/>
      <c r="BA1" s="4"/>
      <c r="BB1" s="3"/>
      <c r="BC1" s="3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</row>
    <row r="2" ht="15.75" customHeight="1">
      <c r="A2" s="5" t="s">
        <v>1</v>
      </c>
      <c r="B2" s="6"/>
      <c r="C2" s="6"/>
      <c r="D2" s="6"/>
      <c r="E2" s="6"/>
      <c r="F2" s="6"/>
      <c r="G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O2" s="8" t="s">
        <v>2</v>
      </c>
      <c r="AR2" s="2" t="s">
        <v>3</v>
      </c>
      <c r="AU2" s="2">
        <v>2.0</v>
      </c>
      <c r="AV2" s="1"/>
      <c r="AW2" s="1"/>
      <c r="AX2" s="3"/>
      <c r="AY2" s="3"/>
      <c r="AZ2" s="4"/>
      <c r="BA2" s="9" t="s">
        <v>4</v>
      </c>
      <c r="BB2" s="3" t="str">
        <f>SUM(#REF!)</f>
        <v>#REF!</v>
      </c>
      <c r="BC2" s="3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</row>
    <row r="3" ht="15.75" customHeight="1">
      <c r="A3" s="10"/>
      <c r="G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R3" s="2" t="s">
        <v>5</v>
      </c>
      <c r="AU3" s="2">
        <v>3.0</v>
      </c>
      <c r="AV3" s="1"/>
      <c r="AW3" s="1"/>
      <c r="AX3" s="3"/>
      <c r="AY3" s="3"/>
      <c r="AZ3" s="4"/>
      <c r="BA3" s="9" t="s">
        <v>6</v>
      </c>
      <c r="BB3" s="3">
        <f>SUM(AS33:AS60)</f>
        <v>0</v>
      </c>
      <c r="BC3" s="3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</row>
    <row r="4" ht="15.75" customHeight="1">
      <c r="A4" s="12"/>
      <c r="B4" s="13"/>
      <c r="C4" s="13"/>
      <c r="D4" s="13"/>
      <c r="E4" s="13"/>
      <c r="F4" s="13"/>
      <c r="G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O4" s="15"/>
      <c r="AP4" s="15"/>
      <c r="AQ4" s="15"/>
      <c r="AR4" s="2" t="s">
        <v>7</v>
      </c>
      <c r="AU4" s="2">
        <v>4.0</v>
      </c>
      <c r="AV4" s="1"/>
      <c r="AW4" s="1"/>
      <c r="AX4" s="3"/>
      <c r="AY4" s="3"/>
      <c r="AZ4" s="4"/>
      <c r="BA4" s="9" t="s">
        <v>8</v>
      </c>
      <c r="BB4" s="3">
        <f>SUM(I35:J43)</f>
        <v>191</v>
      </c>
      <c r="BC4" s="3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</row>
    <row r="5" ht="15.75" customHeight="1">
      <c r="A5" s="5" t="str">
        <f>CONCATENATE("- ",C10," -")</f>
        <v>- January -</v>
      </c>
      <c r="B5" s="6"/>
      <c r="C5" s="6"/>
      <c r="D5" s="6"/>
      <c r="E5" s="6"/>
      <c r="F5" s="6"/>
      <c r="G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O5" s="15"/>
      <c r="AP5" s="15"/>
      <c r="AQ5" s="15"/>
      <c r="AR5" s="2" t="s">
        <v>9</v>
      </c>
      <c r="AU5" s="2">
        <v>5.0</v>
      </c>
      <c r="AV5" s="1"/>
      <c r="AW5" s="1"/>
      <c r="AX5" s="3"/>
      <c r="AY5" s="3"/>
      <c r="AZ5" s="4"/>
      <c r="BA5" s="4"/>
      <c r="BB5" s="3"/>
      <c r="BC5" s="3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</row>
    <row r="6" ht="15.75" customHeight="1">
      <c r="A6" s="12"/>
      <c r="B6" s="13"/>
      <c r="C6" s="13"/>
      <c r="D6" s="13"/>
      <c r="E6" s="13"/>
      <c r="F6" s="13"/>
      <c r="G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O6" s="15"/>
      <c r="AP6" s="15"/>
      <c r="AQ6" s="15"/>
      <c r="AR6" s="2" t="s">
        <v>10</v>
      </c>
      <c r="AU6" s="2">
        <v>6.0</v>
      </c>
      <c r="AV6" s="1"/>
      <c r="AW6" s="1"/>
      <c r="AX6" s="3"/>
      <c r="AY6" s="3"/>
      <c r="AZ6" s="4"/>
      <c r="BA6" s="4"/>
      <c r="BB6" s="3"/>
      <c r="BC6" s="3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O7" s="15"/>
      <c r="AP7" s="15"/>
      <c r="AQ7" s="15"/>
      <c r="AR7" s="2" t="s">
        <v>11</v>
      </c>
      <c r="AU7" s="2">
        <v>7.0</v>
      </c>
      <c r="AV7" s="1"/>
      <c r="AW7" s="1"/>
      <c r="AX7" s="3"/>
      <c r="AY7" s="3"/>
      <c r="AZ7" s="4"/>
      <c r="BA7" s="4"/>
      <c r="BB7" s="3"/>
      <c r="BC7" s="3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</row>
    <row r="8" ht="15.75" customHeight="1">
      <c r="A8" s="16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O8" s="15"/>
      <c r="AP8" s="15"/>
      <c r="AQ8" s="15"/>
      <c r="AR8" s="2" t="s">
        <v>13</v>
      </c>
      <c r="AU8" s="2">
        <v>8.0</v>
      </c>
      <c r="AV8" s="1"/>
      <c r="AW8" s="1"/>
      <c r="AX8" s="3"/>
      <c r="AY8" s="3"/>
      <c r="AZ8" s="4"/>
      <c r="BA8" s="4"/>
      <c r="BB8" s="3"/>
      <c r="BC8" s="3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</row>
    <row r="9" ht="15.75" customHeight="1">
      <c r="A9" s="17" t="s">
        <v>14</v>
      </c>
      <c r="C9" s="17">
        <v>2026.0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O9" s="15"/>
      <c r="AP9" s="15"/>
      <c r="AQ9" s="15"/>
      <c r="AR9" s="2" t="s">
        <v>15</v>
      </c>
      <c r="AU9" s="2">
        <v>9.0</v>
      </c>
      <c r="AV9" s="1"/>
      <c r="AW9" s="1"/>
      <c r="AX9" s="3"/>
      <c r="AY9" s="3"/>
      <c r="AZ9" s="4"/>
      <c r="BA9" s="4"/>
      <c r="BB9" s="3"/>
      <c r="BC9" s="3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</row>
    <row r="10" ht="15.75" customHeight="1">
      <c r="A10" s="18" t="s">
        <v>16</v>
      </c>
      <c r="B10" s="13"/>
      <c r="C10" s="18" t="s">
        <v>0</v>
      </c>
      <c r="D10" s="13"/>
      <c r="E10" s="13"/>
      <c r="F10" s="13"/>
      <c r="G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O10" s="15"/>
      <c r="AP10" s="15"/>
      <c r="AQ10" s="15"/>
      <c r="AR10" s="2" t="s">
        <v>17</v>
      </c>
      <c r="AU10" s="2">
        <v>10.0</v>
      </c>
      <c r="AV10" s="1"/>
      <c r="AW10" s="1"/>
      <c r="AX10" s="3"/>
      <c r="AY10" s="3"/>
      <c r="AZ10" s="4"/>
      <c r="BA10" s="4"/>
      <c r="BB10" s="3"/>
      <c r="BC10" s="3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ht="15.75" customHeight="1">
      <c r="A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O11" s="15"/>
      <c r="AP11" s="15"/>
      <c r="AQ11" s="15"/>
      <c r="AR11" s="2" t="s">
        <v>18</v>
      </c>
      <c r="AU11" s="2">
        <v>11.0</v>
      </c>
      <c r="AV11" s="1"/>
      <c r="AW11" s="1"/>
      <c r="AX11" s="3"/>
      <c r="AY11" s="3"/>
      <c r="AZ11" s="4"/>
      <c r="BA11" s="4"/>
      <c r="BB11" s="3"/>
      <c r="BC11" s="3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9">
        <f t="shared" ref="I12:AM12" si="1">IFERROR(I23/I24,"0")</f>
        <v>0.2222222222</v>
      </c>
      <c r="J12" s="19">
        <f t="shared" si="1"/>
        <v>0.5555555556</v>
      </c>
      <c r="K12" s="19">
        <f t="shared" si="1"/>
        <v>0.5555555556</v>
      </c>
      <c r="L12" s="19">
        <f t="shared" si="1"/>
        <v>0.5555555556</v>
      </c>
      <c r="M12" s="19">
        <f t="shared" si="1"/>
        <v>0.4444444444</v>
      </c>
      <c r="N12" s="19">
        <f t="shared" si="1"/>
        <v>0.3333333333</v>
      </c>
      <c r="O12" s="19">
        <f t="shared" si="1"/>
        <v>0.4444444444</v>
      </c>
      <c r="P12" s="19">
        <f t="shared" si="1"/>
        <v>0.3333333333</v>
      </c>
      <c r="Q12" s="19">
        <f t="shared" si="1"/>
        <v>0.6666666667</v>
      </c>
      <c r="R12" s="19">
        <f t="shared" si="1"/>
        <v>0.3333333333</v>
      </c>
      <c r="S12" s="19">
        <f t="shared" si="1"/>
        <v>0.3333333333</v>
      </c>
      <c r="T12" s="19">
        <f t="shared" si="1"/>
        <v>0.4444444444</v>
      </c>
      <c r="U12" s="19">
        <f t="shared" si="1"/>
        <v>0.4444444444</v>
      </c>
      <c r="V12" s="19">
        <f t="shared" si="1"/>
        <v>0.4444444444</v>
      </c>
      <c r="W12" s="19">
        <f t="shared" si="1"/>
        <v>0.4444444444</v>
      </c>
      <c r="X12" s="19">
        <f t="shared" si="1"/>
        <v>0.2222222222</v>
      </c>
      <c r="Y12" s="19">
        <f t="shared" si="1"/>
        <v>0</v>
      </c>
      <c r="Z12" s="19">
        <f t="shared" si="1"/>
        <v>0.2222222222</v>
      </c>
      <c r="AA12" s="19">
        <f t="shared" si="1"/>
        <v>0.4444444444</v>
      </c>
      <c r="AB12" s="19">
        <f t="shared" si="1"/>
        <v>0.4444444444</v>
      </c>
      <c r="AC12" s="19">
        <f t="shared" si="1"/>
        <v>0.4444444444</v>
      </c>
      <c r="AD12" s="19">
        <f t="shared" si="1"/>
        <v>0.4444444444</v>
      </c>
      <c r="AE12" s="19">
        <f t="shared" si="1"/>
        <v>0.5555555556</v>
      </c>
      <c r="AF12" s="19">
        <f t="shared" si="1"/>
        <v>0.3333333333</v>
      </c>
      <c r="AG12" s="19">
        <f t="shared" si="1"/>
        <v>0.5555555556</v>
      </c>
      <c r="AH12" s="19">
        <f t="shared" si="1"/>
        <v>0.4444444444</v>
      </c>
      <c r="AI12" s="19">
        <f t="shared" si="1"/>
        <v>0.4444444444</v>
      </c>
      <c r="AJ12" s="19">
        <f t="shared" si="1"/>
        <v>0.5555555556</v>
      </c>
      <c r="AK12" s="19">
        <f t="shared" si="1"/>
        <v>0.5555555556</v>
      </c>
      <c r="AL12" s="19">
        <f t="shared" si="1"/>
        <v>0.4444444444</v>
      </c>
      <c r="AM12" s="19">
        <f t="shared" si="1"/>
        <v>0.3333333333</v>
      </c>
      <c r="AO12" s="15"/>
      <c r="AP12" s="15"/>
      <c r="AQ12" s="15"/>
      <c r="AR12" s="2"/>
      <c r="AS12" s="2"/>
      <c r="AT12" s="2"/>
      <c r="AU12" s="2"/>
      <c r="AV12" s="1"/>
      <c r="AW12" s="1"/>
      <c r="AX12" s="3"/>
      <c r="AY12" s="3"/>
      <c r="AZ12" s="4"/>
      <c r="BA12" s="4"/>
      <c r="BB12" s="3"/>
      <c r="BC12" s="3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ht="15.75" customHeight="1">
      <c r="A13" s="5" t="s">
        <v>19</v>
      </c>
      <c r="B13" s="6"/>
      <c r="C13" s="6"/>
      <c r="D13" s="6"/>
      <c r="E13" s="6"/>
      <c r="F13" s="6"/>
      <c r="G13" s="6"/>
      <c r="H13" s="6"/>
      <c r="I13" s="20" t="s">
        <v>20</v>
      </c>
      <c r="J13" s="6"/>
      <c r="K13" s="6"/>
      <c r="L13" s="6"/>
      <c r="M13" s="6"/>
      <c r="N13" s="6"/>
      <c r="O13" s="6"/>
      <c r="P13" s="21" t="s">
        <v>21</v>
      </c>
      <c r="Q13" s="6"/>
      <c r="R13" s="6"/>
      <c r="S13" s="6"/>
      <c r="T13" s="6"/>
      <c r="U13" s="6"/>
      <c r="V13" s="6"/>
      <c r="W13" s="22" t="s">
        <v>22</v>
      </c>
      <c r="X13" s="6"/>
      <c r="Y13" s="6"/>
      <c r="Z13" s="6"/>
      <c r="AA13" s="6"/>
      <c r="AB13" s="6"/>
      <c r="AC13" s="6"/>
      <c r="AD13" s="23" t="s">
        <v>23</v>
      </c>
      <c r="AE13" s="6"/>
      <c r="AF13" s="6"/>
      <c r="AG13" s="6"/>
      <c r="AH13" s="6"/>
      <c r="AI13" s="6"/>
      <c r="AJ13" s="6"/>
      <c r="AK13" s="24" t="s">
        <v>24</v>
      </c>
      <c r="AL13" s="6"/>
      <c r="AM13" s="7"/>
      <c r="AO13" s="15"/>
      <c r="AP13" s="15"/>
      <c r="AQ13" s="15"/>
      <c r="AR13" s="2"/>
      <c r="AS13" s="2"/>
      <c r="AT13" s="2"/>
      <c r="AU13" s="2"/>
      <c r="AV13" s="1"/>
      <c r="AW13" s="1"/>
      <c r="AX13" s="3"/>
      <c r="AY13" s="3"/>
      <c r="AZ13" s="4"/>
      <c r="BA13" s="4"/>
      <c r="BB13" s="3"/>
      <c r="BC13" s="3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ht="15.75" customHeight="1">
      <c r="A14" s="10"/>
      <c r="AM14" s="11"/>
      <c r="AO14" s="15"/>
      <c r="AP14" s="15"/>
      <c r="AQ14" s="15"/>
      <c r="AR14" s="2" t="s">
        <v>25</v>
      </c>
      <c r="AU14" s="2">
        <v>12.0</v>
      </c>
      <c r="AV14" s="1"/>
      <c r="AW14" s="1"/>
      <c r="AX14" s="3"/>
      <c r="AY14" s="3"/>
      <c r="AZ14" s="4"/>
      <c r="BA14" s="4"/>
      <c r="BB14" s="3"/>
      <c r="BC14" s="3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ht="15.75" customHeight="1">
      <c r="A15" s="10"/>
      <c r="I15" s="25">
        <f t="array" ref="I15:AM15">IF(SEQUENCE(1,31) &lt;= DAY(EOMONTH(DATE($C$9, MONTH(DATEVALUE($C$10&amp;" 1")),1),0)),
SEQUENCE(1,31),
"")</f>
        <v>1</v>
      </c>
      <c r="J15" s="25">
        <v>2.0</v>
      </c>
      <c r="K15" s="25">
        <v>3.0</v>
      </c>
      <c r="L15" s="25">
        <v>4.0</v>
      </c>
      <c r="M15" s="25">
        <v>5.0</v>
      </c>
      <c r="N15" s="25">
        <v>6.0</v>
      </c>
      <c r="O15" s="25">
        <v>7.0</v>
      </c>
      <c r="P15" s="25">
        <v>8.0</v>
      </c>
      <c r="Q15" s="25">
        <v>9.0</v>
      </c>
      <c r="R15" s="25">
        <v>10.0</v>
      </c>
      <c r="S15" s="25">
        <v>11.0</v>
      </c>
      <c r="T15" s="25">
        <v>12.0</v>
      </c>
      <c r="U15" s="25">
        <v>13.0</v>
      </c>
      <c r="V15" s="25">
        <v>14.0</v>
      </c>
      <c r="W15" s="25">
        <v>15.0</v>
      </c>
      <c r="X15" s="25">
        <v>16.0</v>
      </c>
      <c r="Y15" s="25">
        <v>17.0</v>
      </c>
      <c r="Z15" s="25">
        <v>18.0</v>
      </c>
      <c r="AA15" s="25">
        <v>19.0</v>
      </c>
      <c r="AB15" s="25">
        <v>20.0</v>
      </c>
      <c r="AC15" s="25">
        <v>21.0</v>
      </c>
      <c r="AD15" s="25">
        <v>22.0</v>
      </c>
      <c r="AE15" s="25">
        <v>23.0</v>
      </c>
      <c r="AF15" s="25">
        <v>24.0</v>
      </c>
      <c r="AG15" s="25">
        <v>25.0</v>
      </c>
      <c r="AH15" s="25">
        <v>26.0</v>
      </c>
      <c r="AI15" s="25">
        <v>27.0</v>
      </c>
      <c r="AJ15" s="25">
        <v>28.0</v>
      </c>
      <c r="AK15" s="25">
        <v>29.0</v>
      </c>
      <c r="AL15" s="25">
        <v>30.0</v>
      </c>
      <c r="AM15" s="26">
        <v>31.0</v>
      </c>
      <c r="AN15" s="1"/>
      <c r="AO15" s="15"/>
      <c r="AP15" s="15"/>
      <c r="AQ15" s="15"/>
      <c r="AR15" s="27"/>
      <c r="AS15" s="2"/>
      <c r="AT15" s="27"/>
      <c r="AU15" s="27"/>
      <c r="AV15" s="1"/>
      <c r="AW15" s="1"/>
      <c r="AX15" s="3"/>
      <c r="AY15" s="3"/>
      <c r="AZ15" s="28"/>
      <c r="BA15" s="3"/>
      <c r="BB15" s="3"/>
      <c r="BC15" s="3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ht="15.75" customHeight="1">
      <c r="A16" s="10"/>
      <c r="I16" s="17">
        <f t="array" ref="I16:AM16">IF(SEQUENCE(1,31) &lt;= DAY(EOMONTH(DATE($C$9, MONTH(DATEVALUE($C$10&amp;" 1")),1),0)),
SEQUENCE(1,31),
"")</f>
        <v>1</v>
      </c>
      <c r="J16" s="17">
        <v>2.0</v>
      </c>
      <c r="K16" s="17">
        <v>3.0</v>
      </c>
      <c r="L16" s="17">
        <v>4.0</v>
      </c>
      <c r="M16" s="17">
        <v>5.0</v>
      </c>
      <c r="N16" s="17">
        <v>6.0</v>
      </c>
      <c r="O16" s="17">
        <v>7.0</v>
      </c>
      <c r="P16" s="17">
        <v>8.0</v>
      </c>
      <c r="Q16" s="17">
        <v>9.0</v>
      </c>
      <c r="R16" s="17">
        <v>10.0</v>
      </c>
      <c r="S16" s="17">
        <v>11.0</v>
      </c>
      <c r="T16" s="17">
        <v>12.0</v>
      </c>
      <c r="U16" s="17">
        <v>13.0</v>
      </c>
      <c r="V16" s="17">
        <v>14.0</v>
      </c>
      <c r="W16" s="17">
        <v>15.0</v>
      </c>
      <c r="X16" s="17">
        <v>16.0</v>
      </c>
      <c r="Y16" s="17">
        <v>17.0</v>
      </c>
      <c r="Z16" s="17">
        <v>18.0</v>
      </c>
      <c r="AA16" s="17">
        <v>19.0</v>
      </c>
      <c r="AB16" s="17">
        <v>20.0</v>
      </c>
      <c r="AC16" s="17">
        <v>21.0</v>
      </c>
      <c r="AD16" s="17">
        <v>22.0</v>
      </c>
      <c r="AE16" s="17">
        <v>23.0</v>
      </c>
      <c r="AF16" s="17">
        <v>24.0</v>
      </c>
      <c r="AG16" s="17">
        <v>25.0</v>
      </c>
      <c r="AH16" s="17">
        <v>26.0</v>
      </c>
      <c r="AI16" s="17">
        <v>27.0</v>
      </c>
      <c r="AJ16" s="17">
        <v>28.0</v>
      </c>
      <c r="AK16" s="17">
        <v>29.0</v>
      </c>
      <c r="AL16" s="17">
        <v>30.0</v>
      </c>
      <c r="AM16" s="29">
        <v>31.0</v>
      </c>
      <c r="AN16" s="1"/>
      <c r="AO16" s="30" t="s">
        <v>26</v>
      </c>
      <c r="AP16" s="6"/>
      <c r="AQ16" s="7"/>
      <c r="AR16" s="1"/>
      <c r="AS16" s="17"/>
      <c r="AT16" s="1"/>
      <c r="AU16" s="1"/>
      <c r="AV16" s="1"/>
      <c r="AW16" s="1"/>
      <c r="AX16" s="3"/>
      <c r="AY16" s="3"/>
      <c r="AZ16" s="28"/>
      <c r="BA16" s="3"/>
      <c r="BB16" s="3"/>
      <c r="BC16" s="3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</row>
    <row r="17" ht="15.75" customHeight="1">
      <c r="A17" s="31"/>
      <c r="I17" s="17" t="str">
        <f>IFERROR(__xludf.DUMMYFUNCTION("SPARKLINE(I23:O23,{""charttype"",""column"";""ymin"",0;""ymax"",COUNTIF($B$35:$H$59,""*"");""color"",""#efd2e0""})"),"")</f>
        <v/>
      </c>
      <c r="P17" s="17" t="str">
        <f>IFERROR(__xludf.DUMMYFUNCTION("SPARKLINE(P23:V23,{""charttype"",""column"";""ymin"",0;""ymax"",COUNTIF($B$35:$H$59,""*"");""color"",""#efd2e0""})"),"")</f>
        <v/>
      </c>
      <c r="W17" s="17" t="str">
        <f>IFERROR(__xludf.DUMMYFUNCTION("SPARKLINE(W23:AC23,{""charttype"",""column"";""ymin"",0;""ymax"",COUNTIF($B$35:$H$59,""*"");""color"",""#efd2e0""})"),"")</f>
        <v/>
      </c>
      <c r="AD17" s="17" t="str">
        <f>IFERROR(__xludf.DUMMYFUNCTION("SPARKLINE(AD23:AJ23,{""charttype"",""column"";""ymin"",0;""ymax"",COUNTIF($B$35:$H$59,""*"");""color"",""#efd2e0""})"),"")</f>
        <v/>
      </c>
      <c r="AK17" s="1" t="str">
        <f>IFERROR(__xludf.DUMMYFUNCTION("IF(SUM(AK23:AM23)=0,"""",
SPARKLINE(AK23:AM23,
{""charttype"",""column"";
""ymin"",0;
""ymax"",MAX(AK23:AM23);
""color"",""#efd2e0""}))"),"")</f>
        <v/>
      </c>
      <c r="AM17" s="11"/>
      <c r="AN17" s="1"/>
      <c r="AO17" s="12"/>
      <c r="AP17" s="13"/>
      <c r="AQ17" s="14"/>
      <c r="AR17" s="1"/>
      <c r="AS17" s="17"/>
      <c r="AT17" s="1"/>
      <c r="AU17" s="1"/>
      <c r="AV17" s="1"/>
      <c r="AW17" s="1"/>
      <c r="AX17" s="3"/>
      <c r="AY17" s="3"/>
      <c r="AZ17" s="28"/>
      <c r="BA17" s="3"/>
      <c r="BB17" s="3"/>
      <c r="BC17" s="3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</row>
    <row r="18" ht="15.75" customHeight="1">
      <c r="A18" s="10"/>
      <c r="AM18" s="11"/>
      <c r="AN18" s="1"/>
      <c r="AO18" s="32">
        <v>1.0</v>
      </c>
      <c r="AP18" s="33" t="str">
        <f t="shared" ref="AP18:AP26" si="2">IF(AY35="","",AY35&amp;" - "&amp;TEXT(AX35,"0.00%"))</f>
        <v>SQL Question Daily - 1150.00%</v>
      </c>
      <c r="AQ18" s="34"/>
      <c r="AR18" s="1"/>
      <c r="AS18" s="17"/>
      <c r="AT18" s="1"/>
      <c r="AU18" s="1"/>
      <c r="AV18" s="1"/>
      <c r="AW18" s="1"/>
      <c r="AX18" s="3"/>
      <c r="AY18" s="3"/>
      <c r="AZ18" s="28"/>
      <c r="BA18" s="3"/>
      <c r="BB18" s="3"/>
      <c r="BC18" s="3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</row>
    <row r="19" ht="15.75" customHeight="1">
      <c r="A19" s="10"/>
      <c r="AM19" s="11"/>
      <c r="AN19" s="1"/>
      <c r="AO19" s="32">
        <v>2.0</v>
      </c>
      <c r="AP19" s="33" t="str">
        <f t="shared" si="2"/>
        <v>Applications - 650.00%</v>
      </c>
      <c r="AQ19" s="11"/>
      <c r="AR19" s="1"/>
      <c r="AS19" s="17"/>
      <c r="AT19" s="1"/>
      <c r="AU19" s="1"/>
      <c r="AV19" s="1"/>
      <c r="AW19" s="1"/>
      <c r="AX19" s="3"/>
      <c r="AY19" s="3"/>
      <c r="AZ19" s="28"/>
      <c r="BA19" s="3"/>
      <c r="BB19" s="3"/>
      <c r="BC19" s="3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</row>
    <row r="20" ht="15.75" customHeight="1">
      <c r="A20" s="10"/>
      <c r="AM20" s="11"/>
      <c r="AN20" s="1"/>
      <c r="AO20" s="32">
        <v>3.0</v>
      </c>
      <c r="AP20" s="33" t="str">
        <f t="shared" si="2"/>
        <v>Study RAG &amp; LLMs - 450.00%</v>
      </c>
      <c r="AQ20" s="34"/>
      <c r="AR20" s="1"/>
      <c r="AS20" s="17"/>
      <c r="AT20" s="1"/>
      <c r="AU20" s="1"/>
      <c r="AV20" s="1"/>
      <c r="AW20" s="1"/>
      <c r="AX20" s="3"/>
      <c r="AY20" s="3"/>
      <c r="AZ20" s="28"/>
      <c r="BA20" s="3"/>
      <c r="BB20" s="3"/>
      <c r="BC20" s="3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</row>
    <row r="21" ht="15.75" customHeight="1">
      <c r="A21" s="10"/>
      <c r="AM21" s="11"/>
      <c r="AN21" s="1"/>
      <c r="AO21" s="32">
        <v>4.0</v>
      </c>
      <c r="AP21" s="33" t="str">
        <f t="shared" si="2"/>
        <v>Gym - 400.00%</v>
      </c>
      <c r="AQ21" s="11"/>
      <c r="AR21" s="1"/>
      <c r="AS21" s="17"/>
      <c r="AT21" s="1"/>
      <c r="AU21" s="1"/>
      <c r="AV21" s="1"/>
      <c r="AW21" s="1"/>
      <c r="AX21" s="3"/>
      <c r="AY21" s="3"/>
      <c r="AZ21" s="28"/>
      <c r="BA21" s="3"/>
      <c r="BB21" s="3"/>
      <c r="BC21" s="3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</row>
    <row r="22" ht="15.75" customHeight="1">
      <c r="A22" s="10"/>
      <c r="AM22" s="11"/>
      <c r="AN22" s="1"/>
      <c r="AO22" s="32">
        <v>5.0</v>
      </c>
      <c r="AP22" s="33" t="str">
        <f t="shared" si="2"/>
        <v>Stretching - 200.00%</v>
      </c>
      <c r="AQ22" s="34"/>
      <c r="AR22" s="1"/>
      <c r="AS22" s="17"/>
      <c r="AT22" s="1"/>
      <c r="AU22" s="1"/>
      <c r="AV22" s="1"/>
      <c r="AW22" s="1"/>
      <c r="AX22" s="3"/>
      <c r="AY22" s="3"/>
      <c r="AZ22" s="28"/>
      <c r="BA22" s="3"/>
      <c r="BB22" s="3"/>
      <c r="BC22" s="3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</row>
    <row r="23" ht="15.75" customHeight="1">
      <c r="A23" s="35" t="s">
        <v>27</v>
      </c>
      <c r="I23" s="17">
        <f t="shared" ref="I23:AM23" si="3">IF(I16="","",COUNTIF(K35:K59,TRUE))</f>
        <v>2</v>
      </c>
      <c r="J23" s="17">
        <f t="shared" si="3"/>
        <v>5</v>
      </c>
      <c r="K23" s="17">
        <f t="shared" si="3"/>
        <v>5</v>
      </c>
      <c r="L23" s="17">
        <f t="shared" si="3"/>
        <v>5</v>
      </c>
      <c r="M23" s="17">
        <f t="shared" si="3"/>
        <v>4</v>
      </c>
      <c r="N23" s="17">
        <f t="shared" si="3"/>
        <v>3</v>
      </c>
      <c r="O23" s="17">
        <f t="shared" si="3"/>
        <v>4</v>
      </c>
      <c r="P23" s="17">
        <f t="shared" si="3"/>
        <v>3</v>
      </c>
      <c r="Q23" s="17">
        <f t="shared" si="3"/>
        <v>6</v>
      </c>
      <c r="R23" s="17">
        <f t="shared" si="3"/>
        <v>3</v>
      </c>
      <c r="S23" s="17">
        <f t="shared" si="3"/>
        <v>3</v>
      </c>
      <c r="T23" s="17">
        <f t="shared" si="3"/>
        <v>4</v>
      </c>
      <c r="U23" s="17">
        <f t="shared" si="3"/>
        <v>4</v>
      </c>
      <c r="V23" s="17">
        <f t="shared" si="3"/>
        <v>4</v>
      </c>
      <c r="W23" s="17">
        <f t="shared" si="3"/>
        <v>4</v>
      </c>
      <c r="X23" s="17">
        <f t="shared" si="3"/>
        <v>2</v>
      </c>
      <c r="Y23" s="17">
        <f t="shared" si="3"/>
        <v>0</v>
      </c>
      <c r="Z23" s="17">
        <f t="shared" si="3"/>
        <v>2</v>
      </c>
      <c r="AA23" s="17">
        <f t="shared" si="3"/>
        <v>4</v>
      </c>
      <c r="AB23" s="17">
        <f t="shared" si="3"/>
        <v>4</v>
      </c>
      <c r="AC23" s="17">
        <f t="shared" si="3"/>
        <v>4</v>
      </c>
      <c r="AD23" s="17">
        <f t="shared" si="3"/>
        <v>4</v>
      </c>
      <c r="AE23" s="17">
        <f t="shared" si="3"/>
        <v>5</v>
      </c>
      <c r="AF23" s="17">
        <f t="shared" si="3"/>
        <v>3</v>
      </c>
      <c r="AG23" s="17">
        <f t="shared" si="3"/>
        <v>5</v>
      </c>
      <c r="AH23" s="17">
        <f t="shared" si="3"/>
        <v>4</v>
      </c>
      <c r="AI23" s="17">
        <f t="shared" si="3"/>
        <v>4</v>
      </c>
      <c r="AJ23" s="17">
        <f t="shared" si="3"/>
        <v>5</v>
      </c>
      <c r="AK23" s="17">
        <f t="shared" si="3"/>
        <v>5</v>
      </c>
      <c r="AL23" s="17">
        <f t="shared" si="3"/>
        <v>4</v>
      </c>
      <c r="AM23" s="29">
        <f t="shared" si="3"/>
        <v>3</v>
      </c>
      <c r="AN23" s="1"/>
      <c r="AO23" s="32">
        <v>6.0</v>
      </c>
      <c r="AP23" s="33" t="str">
        <f t="shared" si="2"/>
        <v>Swim - 100.00%</v>
      </c>
      <c r="AQ23" s="11"/>
      <c r="AR23" s="1"/>
      <c r="AS23" s="17"/>
      <c r="AT23" s="1"/>
      <c r="AU23" s="1"/>
      <c r="AV23" s="1"/>
      <c r="AW23" s="1"/>
      <c r="AX23" s="3"/>
      <c r="AY23" s="3"/>
      <c r="AZ23" s="28"/>
      <c r="BA23" s="3"/>
      <c r="BB23" s="3"/>
      <c r="BC23" s="3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</row>
    <row r="24" ht="15.75" customHeight="1">
      <c r="A24" s="35" t="s">
        <v>28</v>
      </c>
      <c r="I24" s="1">
        <f t="shared" ref="I24:AM24" si="4">IF(I16="","",COUNTIF($B$35:$H$59,"*"))</f>
        <v>9</v>
      </c>
      <c r="J24" s="1">
        <f t="shared" si="4"/>
        <v>9</v>
      </c>
      <c r="K24" s="1">
        <f t="shared" si="4"/>
        <v>9</v>
      </c>
      <c r="L24" s="1">
        <f t="shared" si="4"/>
        <v>9</v>
      </c>
      <c r="M24" s="1">
        <f t="shared" si="4"/>
        <v>9</v>
      </c>
      <c r="N24" s="1">
        <f t="shared" si="4"/>
        <v>9</v>
      </c>
      <c r="O24" s="1">
        <f t="shared" si="4"/>
        <v>9</v>
      </c>
      <c r="P24" s="1">
        <f t="shared" si="4"/>
        <v>9</v>
      </c>
      <c r="Q24" s="1">
        <f t="shared" si="4"/>
        <v>9</v>
      </c>
      <c r="R24" s="1">
        <f t="shared" si="4"/>
        <v>9</v>
      </c>
      <c r="S24" s="1">
        <f t="shared" si="4"/>
        <v>9</v>
      </c>
      <c r="T24" s="1">
        <f t="shared" si="4"/>
        <v>9</v>
      </c>
      <c r="U24" s="1">
        <f t="shared" si="4"/>
        <v>9</v>
      </c>
      <c r="V24" s="1">
        <f t="shared" si="4"/>
        <v>9</v>
      </c>
      <c r="W24" s="1">
        <f t="shared" si="4"/>
        <v>9</v>
      </c>
      <c r="X24" s="1">
        <f t="shared" si="4"/>
        <v>9</v>
      </c>
      <c r="Y24" s="1">
        <f t="shared" si="4"/>
        <v>9</v>
      </c>
      <c r="Z24" s="1">
        <f t="shared" si="4"/>
        <v>9</v>
      </c>
      <c r="AA24" s="1">
        <f t="shared" si="4"/>
        <v>9</v>
      </c>
      <c r="AB24" s="1">
        <f t="shared" si="4"/>
        <v>9</v>
      </c>
      <c r="AC24" s="1">
        <f t="shared" si="4"/>
        <v>9</v>
      </c>
      <c r="AD24" s="1">
        <f t="shared" si="4"/>
        <v>9</v>
      </c>
      <c r="AE24" s="1">
        <f t="shared" si="4"/>
        <v>9</v>
      </c>
      <c r="AF24" s="1">
        <f t="shared" si="4"/>
        <v>9</v>
      </c>
      <c r="AG24" s="1">
        <f t="shared" si="4"/>
        <v>9</v>
      </c>
      <c r="AH24" s="1">
        <f t="shared" si="4"/>
        <v>9</v>
      </c>
      <c r="AI24" s="1">
        <f t="shared" si="4"/>
        <v>9</v>
      </c>
      <c r="AJ24" s="1">
        <f t="shared" si="4"/>
        <v>9</v>
      </c>
      <c r="AK24" s="1">
        <f t="shared" si="4"/>
        <v>9</v>
      </c>
      <c r="AL24" s="1">
        <f t="shared" si="4"/>
        <v>9</v>
      </c>
      <c r="AM24" s="36">
        <f t="shared" si="4"/>
        <v>9</v>
      </c>
      <c r="AN24" s="1"/>
      <c r="AO24" s="32">
        <v>7.0</v>
      </c>
      <c r="AP24" s="33" t="str">
        <f t="shared" si="2"/>
        <v>Eating Healthy - 92.31%</v>
      </c>
      <c r="AQ24" s="11"/>
      <c r="AR24" s="1"/>
      <c r="AS24" s="17"/>
      <c r="AT24" s="1"/>
      <c r="AU24" s="1"/>
      <c r="AV24" s="1"/>
      <c r="AW24" s="1"/>
      <c r="AX24" s="3"/>
      <c r="AY24" s="3"/>
      <c r="AZ24" s="28"/>
      <c r="BA24" s="3"/>
      <c r="BB24" s="3"/>
      <c r="BC24" s="3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</row>
    <row r="25" ht="15.75" customHeight="1">
      <c r="A25" s="35" t="s">
        <v>29</v>
      </c>
      <c r="I25" s="1">
        <f t="shared" ref="I25:AM25" si="5">IF(I16="","",I24-I24)</f>
        <v>0</v>
      </c>
      <c r="J25" s="1">
        <f t="shared" si="5"/>
        <v>0</v>
      </c>
      <c r="K25" s="1">
        <f t="shared" si="5"/>
        <v>0</v>
      </c>
      <c r="L25" s="1">
        <f t="shared" si="5"/>
        <v>0</v>
      </c>
      <c r="M25" s="1">
        <f t="shared" si="5"/>
        <v>0</v>
      </c>
      <c r="N25" s="1">
        <f t="shared" si="5"/>
        <v>0</v>
      </c>
      <c r="O25" s="1">
        <f t="shared" si="5"/>
        <v>0</v>
      </c>
      <c r="P25" s="1">
        <f t="shared" si="5"/>
        <v>0</v>
      </c>
      <c r="Q25" s="1">
        <f t="shared" si="5"/>
        <v>0</v>
      </c>
      <c r="R25" s="1">
        <f t="shared" si="5"/>
        <v>0</v>
      </c>
      <c r="S25" s="1">
        <f t="shared" si="5"/>
        <v>0</v>
      </c>
      <c r="T25" s="1">
        <f t="shared" si="5"/>
        <v>0</v>
      </c>
      <c r="U25" s="1">
        <f t="shared" si="5"/>
        <v>0</v>
      </c>
      <c r="V25" s="1">
        <f t="shared" si="5"/>
        <v>0</v>
      </c>
      <c r="W25" s="1">
        <f t="shared" si="5"/>
        <v>0</v>
      </c>
      <c r="X25" s="1">
        <f t="shared" si="5"/>
        <v>0</v>
      </c>
      <c r="Y25" s="1">
        <f t="shared" si="5"/>
        <v>0</v>
      </c>
      <c r="Z25" s="1">
        <f t="shared" si="5"/>
        <v>0</v>
      </c>
      <c r="AA25" s="1">
        <f t="shared" si="5"/>
        <v>0</v>
      </c>
      <c r="AB25" s="1">
        <f t="shared" si="5"/>
        <v>0</v>
      </c>
      <c r="AC25" s="1">
        <f t="shared" si="5"/>
        <v>0</v>
      </c>
      <c r="AD25" s="1">
        <f t="shared" si="5"/>
        <v>0</v>
      </c>
      <c r="AE25" s="1">
        <f t="shared" si="5"/>
        <v>0</v>
      </c>
      <c r="AF25" s="1">
        <f t="shared" si="5"/>
        <v>0</v>
      </c>
      <c r="AG25" s="1">
        <f t="shared" si="5"/>
        <v>0</v>
      </c>
      <c r="AH25" s="1">
        <f t="shared" si="5"/>
        <v>0</v>
      </c>
      <c r="AI25" s="1">
        <f t="shared" si="5"/>
        <v>0</v>
      </c>
      <c r="AJ25" s="1">
        <f t="shared" si="5"/>
        <v>0</v>
      </c>
      <c r="AK25" s="1">
        <f t="shared" si="5"/>
        <v>0</v>
      </c>
      <c r="AL25" s="1">
        <f t="shared" si="5"/>
        <v>0</v>
      </c>
      <c r="AM25" s="36">
        <f t="shared" si="5"/>
        <v>0</v>
      </c>
      <c r="AN25" s="1"/>
      <c r="AO25" s="32">
        <v>8.0</v>
      </c>
      <c r="AP25" s="33" t="str">
        <f t="shared" si="2"/>
        <v>Revision - 25.00%</v>
      </c>
      <c r="AQ25" s="34"/>
      <c r="AR25" s="1"/>
      <c r="AS25" s="17"/>
      <c r="AT25" s="1"/>
      <c r="AU25" s="1"/>
      <c r="AV25" s="1"/>
      <c r="AW25" s="1"/>
      <c r="AX25" s="3"/>
      <c r="AY25" s="3"/>
      <c r="AZ25" s="28"/>
      <c r="BA25" s="3"/>
      <c r="BB25" s="3"/>
      <c r="BC25" s="3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</row>
    <row r="26" ht="15.75" customHeight="1">
      <c r="A26" s="37" t="s">
        <v>30</v>
      </c>
      <c r="I26" s="1" t="str">
        <f>CONCATENATE(SUM(I23:O23),"/",SUM(I24:O24))</f>
        <v>28/63</v>
      </c>
      <c r="P26" s="1" t="str">
        <f>CONCATENATE(SUM(P23:V23),"/",SUM(P24:V24))</f>
        <v>27/63</v>
      </c>
      <c r="W26" s="1" t="str">
        <f>CONCATENATE(SUM(W23:AC23),"/",SUM(W24:AC24))</f>
        <v>20/63</v>
      </c>
      <c r="AD26" s="1" t="str">
        <f>CONCATENATE(SUM(AD23:AJ23),"/",SUM(AD24:AJ24))</f>
        <v>30/63</v>
      </c>
      <c r="AK26" s="1" t="str">
        <f>CONCATENATE(SUM(AK23:AL23),"/",SUM(AK24:AL24))</f>
        <v>9/18</v>
      </c>
      <c r="AM26" s="11"/>
      <c r="AN26" s="1"/>
      <c r="AO26" s="32">
        <v>9.0</v>
      </c>
      <c r="AP26" s="33" t="str">
        <f t="shared" si="2"/>
        <v>Sleep Early - 18.18%</v>
      </c>
      <c r="AQ26" s="11"/>
      <c r="AR26" s="1"/>
      <c r="AS26" s="17"/>
      <c r="AT26" s="1"/>
      <c r="AU26" s="1"/>
      <c r="AV26" s="1"/>
      <c r="AW26" s="1"/>
      <c r="AX26" s="3"/>
      <c r="AY26" s="3"/>
      <c r="AZ26" s="28"/>
      <c r="BA26" s="3"/>
      <c r="BB26" s="3"/>
      <c r="BC26" s="3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</row>
    <row r="27" ht="15.75" customHeight="1">
      <c r="A27" s="10"/>
      <c r="I27" s="38">
        <f>SUM(I23:O23)/SUM(I24:O24)</f>
        <v>0.4444444444</v>
      </c>
      <c r="P27" s="38">
        <f>SUM(P23:V23)/SUM(P24:V24)</f>
        <v>0.4285714286</v>
      </c>
      <c r="W27" s="38">
        <f>SUM(W23:AC23)/SUM(W24:AC24)</f>
        <v>0.3174603175</v>
      </c>
      <c r="AD27" s="38">
        <f>SUM(AD23:AJ23)/SUM(AD24:AJ24)</f>
        <v>0.4761904762</v>
      </c>
      <c r="AK27" s="38">
        <f>IFERROR(SUM(AK23:AM23)/SUM(AK24:AM24), 0)</f>
        <v>0.4444444444</v>
      </c>
      <c r="AM27" s="11"/>
      <c r="AN27" s="1"/>
      <c r="AO27" s="39"/>
      <c r="AP27" s="40" t="str">
        <f>IF(AY44="","",CONCATENATE(AY44," - "))</f>
        <v/>
      </c>
      <c r="AQ27" s="41"/>
      <c r="AR27" s="1"/>
      <c r="AS27" s="17"/>
      <c r="AT27" s="1"/>
      <c r="AU27" s="1"/>
      <c r="AV27" s="1"/>
      <c r="AW27" s="1"/>
      <c r="AX27" s="3"/>
      <c r="AY27" s="3"/>
      <c r="AZ27" s="28"/>
      <c r="BA27" s="3"/>
      <c r="BB27" s="3"/>
      <c r="BC27" s="3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</row>
    <row r="28" ht="15.75" customHeight="1">
      <c r="A28" s="10"/>
      <c r="I28" s="17" t="str">
        <f>IFERROR(__xludf.DUMMYFUNCTION("SPARKLINE(I27,{""charttype"",""bar"";""max"",1;""color1"",""#fad5be""})"),"")</f>
        <v/>
      </c>
      <c r="P28" s="17" t="str">
        <f>IFERROR(__xludf.DUMMYFUNCTION("SPARKLINE(P27,{""charttype"",""bar"";""max"",1;""color1"",""#fad5be""})"),"")</f>
        <v/>
      </c>
      <c r="W28" s="17" t="str">
        <f>IFERROR(__xludf.DUMMYFUNCTION("SPARKLINE(W27,{""charttype"",""bar"";""max"",1;""color1"",""#fad5be""})"),"")</f>
        <v/>
      </c>
      <c r="AD28" s="17" t="str">
        <f>IFERROR(__xludf.DUMMYFUNCTION("SPARKLINE(AD27,{""charttype"",""bar"";""max"",1;""color1"",""#fad5be""})"),"")</f>
        <v/>
      </c>
      <c r="AK28" s="17" t="str">
        <f>IFERROR(__xludf.DUMMYFUNCTION("SPARKLINE(AK27,{""charttype"",""bar"";""max"",1;""color1"",""#fad5be""})"),"")</f>
        <v/>
      </c>
      <c r="AM28" s="11"/>
      <c r="AN28" s="17"/>
      <c r="AO28" s="33"/>
      <c r="AP28" s="17"/>
      <c r="AQ28" s="17"/>
      <c r="AR28" s="1"/>
      <c r="AS28" s="17"/>
      <c r="AT28" s="1"/>
      <c r="AU28" s="1"/>
      <c r="AV28" s="1"/>
      <c r="AW28" s="1"/>
      <c r="AX28" s="3"/>
      <c r="AY28" s="3"/>
      <c r="AZ28" s="28"/>
      <c r="BA28" s="3"/>
      <c r="BB28" s="3"/>
      <c r="BC28" s="3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</row>
    <row r="29" ht="15.75" customHeight="1">
      <c r="A29" s="12"/>
      <c r="B29" s="13"/>
      <c r="C29" s="13"/>
      <c r="D29" s="13"/>
      <c r="E29" s="13"/>
      <c r="F29" s="13"/>
      <c r="G29" s="13"/>
      <c r="H29" s="13"/>
      <c r="I29" s="42"/>
      <c r="J29" s="13"/>
      <c r="K29" s="13"/>
      <c r="L29" s="13"/>
      <c r="M29" s="13"/>
      <c r="N29" s="13"/>
      <c r="O29" s="13"/>
      <c r="P29" s="42"/>
      <c r="Q29" s="13"/>
      <c r="R29" s="13"/>
      <c r="S29" s="13"/>
      <c r="T29" s="13"/>
      <c r="U29" s="13"/>
      <c r="V29" s="13"/>
      <c r="W29" s="42"/>
      <c r="X29" s="13"/>
      <c r="Y29" s="13"/>
      <c r="Z29" s="13"/>
      <c r="AA29" s="13"/>
      <c r="AB29" s="13"/>
      <c r="AC29" s="13"/>
      <c r="AD29" s="42"/>
      <c r="AE29" s="13"/>
      <c r="AF29" s="13"/>
      <c r="AG29" s="13"/>
      <c r="AH29" s="13"/>
      <c r="AI29" s="13"/>
      <c r="AJ29" s="13"/>
      <c r="AK29" s="42"/>
      <c r="AL29" s="13"/>
      <c r="AM29" s="14"/>
      <c r="AN29" s="1"/>
      <c r="AO29" s="33"/>
      <c r="AP29" s="1"/>
      <c r="AQ29" s="1"/>
      <c r="AR29" s="1"/>
      <c r="AS29" s="17"/>
      <c r="AT29" s="1"/>
      <c r="AU29" s="1"/>
      <c r="AV29" s="1"/>
      <c r="AW29" s="1"/>
      <c r="AX29" s="3"/>
      <c r="AY29" s="3"/>
      <c r="AZ29" s="28"/>
      <c r="BA29" s="3"/>
      <c r="BB29" s="3"/>
      <c r="BC29" s="3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7"/>
      <c r="AT30" s="1"/>
      <c r="AU30" s="1"/>
      <c r="AV30" s="1"/>
      <c r="AW30" s="1"/>
      <c r="AX30" s="3"/>
      <c r="AY30" s="3"/>
      <c r="AZ30" s="28"/>
      <c r="BA30" s="3"/>
      <c r="BB30" s="3"/>
      <c r="BC30" s="3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</row>
    <row r="31" ht="15.75" customHeight="1">
      <c r="A31" s="1"/>
      <c r="B31" s="43" t="s">
        <v>31</v>
      </c>
      <c r="I31" s="44" t="s">
        <v>32</v>
      </c>
      <c r="K31" s="16" t="s">
        <v>20</v>
      </c>
      <c r="R31" s="45" t="s">
        <v>21</v>
      </c>
      <c r="Y31" s="46" t="s">
        <v>22</v>
      </c>
      <c r="AF31" s="45" t="s">
        <v>23</v>
      </c>
      <c r="AM31" s="44" t="s">
        <v>24</v>
      </c>
      <c r="AP31" s="47"/>
      <c r="AX31" s="4"/>
      <c r="AY31" s="3"/>
      <c r="BF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</row>
    <row r="32" ht="15.75" customHeight="1">
      <c r="A32" s="1"/>
      <c r="AP32" s="47"/>
      <c r="AX32" s="4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</row>
    <row r="33" ht="15.75" customHeight="1">
      <c r="A33" s="1"/>
      <c r="K33" s="25">
        <f t="array" ref="K33:AO33">IF(SEQUENCE(1,31) &lt;= DAY(EOMONTH(DATE($C$9, MONTH(DATEVALUE($C$10&amp;" 1")),1),0)),
SEQUENCE(1,31),
"")</f>
        <v>1</v>
      </c>
      <c r="L33" s="25">
        <v>2.0</v>
      </c>
      <c r="M33" s="25">
        <v>3.0</v>
      </c>
      <c r="N33" s="25">
        <v>4.0</v>
      </c>
      <c r="O33" s="25">
        <v>5.0</v>
      </c>
      <c r="P33" s="25">
        <v>6.0</v>
      </c>
      <c r="Q33" s="25">
        <v>7.0</v>
      </c>
      <c r="R33" s="25">
        <v>8.0</v>
      </c>
      <c r="S33" s="25">
        <v>9.0</v>
      </c>
      <c r="T33" s="25">
        <v>10.0</v>
      </c>
      <c r="U33" s="25">
        <v>11.0</v>
      </c>
      <c r="V33" s="25">
        <v>12.0</v>
      </c>
      <c r="W33" s="25">
        <v>13.0</v>
      </c>
      <c r="X33" s="25">
        <v>14.0</v>
      </c>
      <c r="Y33" s="25">
        <v>15.0</v>
      </c>
      <c r="Z33" s="25">
        <v>16.0</v>
      </c>
      <c r="AA33" s="25">
        <v>17.0</v>
      </c>
      <c r="AB33" s="25">
        <v>18.0</v>
      </c>
      <c r="AC33" s="25">
        <v>19.0</v>
      </c>
      <c r="AD33" s="25">
        <v>20.0</v>
      </c>
      <c r="AE33" s="25">
        <v>21.0</v>
      </c>
      <c r="AF33" s="25">
        <v>22.0</v>
      </c>
      <c r="AG33" s="25">
        <v>23.0</v>
      </c>
      <c r="AH33" s="25">
        <v>24.0</v>
      </c>
      <c r="AI33" s="25">
        <v>25.0</v>
      </c>
      <c r="AJ33" s="25">
        <v>26.0</v>
      </c>
      <c r="AK33" s="25">
        <v>27.0</v>
      </c>
      <c r="AL33" s="25">
        <v>28.0</v>
      </c>
      <c r="AM33" s="25">
        <v>29.0</v>
      </c>
      <c r="AN33" s="25">
        <v>30.0</v>
      </c>
      <c r="AO33" s="25">
        <v>31.0</v>
      </c>
      <c r="AP33" s="48" t="s">
        <v>27</v>
      </c>
      <c r="AQ33" s="49" t="s">
        <v>29</v>
      </c>
      <c r="AR33" s="50" t="s">
        <v>33</v>
      </c>
      <c r="AX33" s="4"/>
      <c r="AY33" s="3"/>
      <c r="AZ33" s="3"/>
      <c r="BA33" s="3"/>
      <c r="BB33" s="3"/>
      <c r="BC33" s="3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</row>
    <row r="34" ht="15.75" customHeight="1">
      <c r="A34" s="1"/>
      <c r="K34" s="17">
        <f t="array" ref="K34:AO34">IF(SEQUENCE(1,31) &lt;= DAY(EOMONTH(DATE($C$9, MONTH(DATEVALUE($C$10&amp;" 1")),1),0)),
SEQUENCE(1,31),
"")</f>
        <v>1</v>
      </c>
      <c r="L34" s="17">
        <v>2.0</v>
      </c>
      <c r="M34" s="17">
        <v>3.0</v>
      </c>
      <c r="N34" s="17">
        <v>4.0</v>
      </c>
      <c r="O34" s="17">
        <v>5.0</v>
      </c>
      <c r="P34" s="17">
        <v>6.0</v>
      </c>
      <c r="Q34" s="17">
        <v>7.0</v>
      </c>
      <c r="R34" s="17">
        <v>8.0</v>
      </c>
      <c r="S34" s="17">
        <v>9.0</v>
      </c>
      <c r="T34" s="17">
        <v>10.0</v>
      </c>
      <c r="U34" s="17">
        <v>11.0</v>
      </c>
      <c r="V34" s="17">
        <v>12.0</v>
      </c>
      <c r="W34" s="17">
        <v>13.0</v>
      </c>
      <c r="X34" s="17">
        <v>14.0</v>
      </c>
      <c r="Y34" s="17">
        <v>15.0</v>
      </c>
      <c r="Z34" s="17">
        <v>16.0</v>
      </c>
      <c r="AA34" s="17">
        <v>17.0</v>
      </c>
      <c r="AB34" s="17">
        <v>18.0</v>
      </c>
      <c r="AC34" s="17">
        <v>19.0</v>
      </c>
      <c r="AD34" s="17">
        <v>20.0</v>
      </c>
      <c r="AE34" s="17">
        <v>21.0</v>
      </c>
      <c r="AF34" s="17">
        <v>22.0</v>
      </c>
      <c r="AG34" s="17">
        <v>23.0</v>
      </c>
      <c r="AH34" s="17">
        <v>24.0</v>
      </c>
      <c r="AI34" s="17">
        <v>25.0</v>
      </c>
      <c r="AJ34" s="17">
        <v>26.0</v>
      </c>
      <c r="AK34" s="17">
        <v>27.0</v>
      </c>
      <c r="AL34" s="17">
        <v>28.0</v>
      </c>
      <c r="AM34" s="17">
        <v>29.0</v>
      </c>
      <c r="AN34" s="17">
        <v>30.0</v>
      </c>
      <c r="AO34" s="17">
        <v>31.0</v>
      </c>
      <c r="AX34" s="4"/>
      <c r="AY34" s="3"/>
      <c r="AZ34" s="3"/>
      <c r="BA34" s="3"/>
      <c r="BB34" s="3"/>
      <c r="BC34" s="3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</row>
    <row r="35" ht="15.75" customHeight="1">
      <c r="A35" s="17">
        <v>1.0</v>
      </c>
      <c r="B35" s="17" t="s">
        <v>34</v>
      </c>
      <c r="I35" s="17">
        <v>20.0</v>
      </c>
      <c r="K35" s="17" t="b">
        <v>0</v>
      </c>
      <c r="L35" s="17" t="b">
        <v>1</v>
      </c>
      <c r="M35" s="17" t="b">
        <v>1</v>
      </c>
      <c r="N35" s="17" t="b">
        <v>1</v>
      </c>
      <c r="O35" s="17" t="b">
        <v>0</v>
      </c>
      <c r="P35" s="1" t="b">
        <v>0</v>
      </c>
      <c r="Q35" s="17" t="b">
        <v>0</v>
      </c>
      <c r="R35" s="17" t="b">
        <v>0</v>
      </c>
      <c r="S35" s="17" t="b">
        <v>1</v>
      </c>
      <c r="T35" s="17" t="b">
        <v>1</v>
      </c>
      <c r="U35" s="17" t="b">
        <v>1</v>
      </c>
      <c r="V35" s="17" t="b">
        <v>1</v>
      </c>
      <c r="W35" s="1" t="b">
        <v>0</v>
      </c>
      <c r="X35" s="1" t="b">
        <v>0</v>
      </c>
      <c r="Y35" s="1" t="b">
        <v>0</v>
      </c>
      <c r="Z35" s="17" t="b">
        <v>1</v>
      </c>
      <c r="AA35" s="17" t="b">
        <v>0</v>
      </c>
      <c r="AB35" s="17" t="b">
        <v>0</v>
      </c>
      <c r="AC35" s="17" t="b">
        <v>0</v>
      </c>
      <c r="AD35" s="17" t="b">
        <v>1</v>
      </c>
      <c r="AE35" s="17" t="b">
        <v>1</v>
      </c>
      <c r="AF35" s="17" t="b">
        <v>1</v>
      </c>
      <c r="AG35" s="17" t="b">
        <v>0</v>
      </c>
      <c r="AH35" s="17" t="b">
        <v>0</v>
      </c>
      <c r="AI35" s="17" t="b">
        <v>1</v>
      </c>
      <c r="AJ35" s="1" t="b">
        <v>0</v>
      </c>
      <c r="AK35" s="17" t="b">
        <v>1</v>
      </c>
      <c r="AL35" s="17" t="b">
        <v>1</v>
      </c>
      <c r="AM35" s="17" t="b">
        <v>1</v>
      </c>
      <c r="AN35" s="17" t="b">
        <v>1</v>
      </c>
      <c r="AO35" s="1" t="b">
        <v>0</v>
      </c>
      <c r="AP35" s="51">
        <f t="shared" ref="AP35:AP43" si="6">IF(B35="","",COUNTIF(K35:AO35,TRUE))</f>
        <v>16</v>
      </c>
      <c r="AQ35" s="52">
        <f t="shared" ref="AQ35:AQ43" si="7">IF(B35="","",I35-AP35)</f>
        <v>4</v>
      </c>
      <c r="AR35" s="53">
        <f t="shared" ref="AR35:AR43" si="8">IF(B35="","",AP35/AQ35)</f>
        <v>4</v>
      </c>
      <c r="AS35" s="54" t="str">
        <f>IFERROR(__xludf.DUMMYFUNCTION("IF(B35="""","""",SPARKLINE(AR35,{""charttype"",""bar"";""max"",1;""color1"",""#fad5be""}))"),"")</f>
        <v/>
      </c>
      <c r="AX35" s="55">
        <f t="array" ref="AX35:AY43">SORT({AR35:AR43,B35:B43},1,FALSE)</f>
        <v>11.5</v>
      </c>
      <c r="AY35" s="3" t="s">
        <v>35</v>
      </c>
      <c r="AZ35" s="3"/>
      <c r="BA35" s="3"/>
      <c r="BB35" s="56">
        <f t="shared" ref="BB35:BB59" si="9">IFERROR(INDEX(AR$35:AR$43,MATCH(AY35,B$35:B$43,0)),"")</f>
        <v>11.5</v>
      </c>
      <c r="BC35" s="3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ht="15.75" customHeight="1">
      <c r="A36" s="17">
        <v>2.0</v>
      </c>
      <c r="B36" s="17" t="s">
        <v>36</v>
      </c>
      <c r="I36" s="17">
        <v>8.0</v>
      </c>
      <c r="K36" s="17" t="b">
        <v>0</v>
      </c>
      <c r="L36" s="1" t="b">
        <v>0</v>
      </c>
      <c r="M36" s="1" t="b">
        <v>0</v>
      </c>
      <c r="N36" s="1" t="b">
        <v>0</v>
      </c>
      <c r="O36" s="17" t="b">
        <v>1</v>
      </c>
      <c r="P36" s="17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7" t="b">
        <v>1</v>
      </c>
      <c r="X36" s="1" t="b">
        <v>0</v>
      </c>
      <c r="Y36" s="1" t="b">
        <v>0</v>
      </c>
      <c r="Z36" s="1" t="b">
        <v>0</v>
      </c>
      <c r="AA36" s="1" t="b">
        <v>0</v>
      </c>
      <c r="AB36" s="1" t="b">
        <v>0</v>
      </c>
      <c r="AC36" s="17" t="b">
        <v>0</v>
      </c>
      <c r="AD36" s="1" t="b">
        <v>0</v>
      </c>
      <c r="AE36" s="1" t="b">
        <v>0</v>
      </c>
      <c r="AF36" s="17" t="b">
        <v>0</v>
      </c>
      <c r="AG36" s="17" t="b">
        <v>1</v>
      </c>
      <c r="AH36" s="1" t="b">
        <v>0</v>
      </c>
      <c r="AI36" s="17" t="b">
        <v>0</v>
      </c>
      <c r="AJ36" s="17" t="b">
        <v>1</v>
      </c>
      <c r="AK36" s="17" t="b">
        <v>0</v>
      </c>
      <c r="AL36" s="17" t="b">
        <v>0</v>
      </c>
      <c r="AM36" s="17" t="b">
        <v>0</v>
      </c>
      <c r="AN36" s="1" t="b">
        <v>0</v>
      </c>
      <c r="AO36" s="1" t="b">
        <v>0</v>
      </c>
      <c r="AP36" s="51">
        <f t="shared" si="6"/>
        <v>4</v>
      </c>
      <c r="AQ36" s="52">
        <f t="shared" si="7"/>
        <v>4</v>
      </c>
      <c r="AR36" s="53">
        <f t="shared" si="8"/>
        <v>1</v>
      </c>
      <c r="AS36" s="54" t="str">
        <f>IFERROR(__xludf.DUMMYFUNCTION("IF(B36="""","""",SPARKLINE(AR36,{""charttype"",""bar"";""max"",1;""color1"",""#fad5be""}))"),"")</f>
        <v/>
      </c>
      <c r="AX36" s="55">
        <v>6.5</v>
      </c>
      <c r="AY36" s="3" t="s">
        <v>37</v>
      </c>
      <c r="AZ36" s="3"/>
      <c r="BA36" s="3"/>
      <c r="BB36" s="56">
        <f t="shared" si="9"/>
        <v>6.5</v>
      </c>
      <c r="BC36" s="3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ht="15.75" customHeight="1">
      <c r="A37" s="17">
        <v>3.0</v>
      </c>
      <c r="B37" s="17" t="s">
        <v>38</v>
      </c>
      <c r="I37" s="17">
        <v>22.0</v>
      </c>
      <c r="K37" s="1" t="b">
        <v>0</v>
      </c>
      <c r="L37" s="17" t="b">
        <v>1</v>
      </c>
      <c r="M37" s="17" t="b">
        <v>1</v>
      </c>
      <c r="N37" s="17" t="b">
        <v>1</v>
      </c>
      <c r="O37" s="1" t="b">
        <v>0</v>
      </c>
      <c r="P37" s="17" t="b">
        <v>1</v>
      </c>
      <c r="Q37" s="1" t="b">
        <v>0</v>
      </c>
      <c r="R37" s="17" t="b">
        <v>1</v>
      </c>
      <c r="S37" s="17" t="b">
        <v>1</v>
      </c>
      <c r="T37" s="1" t="b">
        <v>0</v>
      </c>
      <c r="U37" s="1" t="b">
        <v>0</v>
      </c>
      <c r="V37" s="17" t="b">
        <v>1</v>
      </c>
      <c r="W37" s="17" t="b">
        <v>1</v>
      </c>
      <c r="X37" s="17" t="b">
        <v>1</v>
      </c>
      <c r="Y37" s="17" t="b">
        <v>1</v>
      </c>
      <c r="Z37" s="17" t="b">
        <v>0</v>
      </c>
      <c r="AA37" s="17" t="b">
        <v>0</v>
      </c>
      <c r="AB37" s="17" t="b">
        <v>0</v>
      </c>
      <c r="AC37" s="17" t="b">
        <v>1</v>
      </c>
      <c r="AD37" s="17" t="b">
        <v>1</v>
      </c>
      <c r="AE37" s="17" t="b">
        <v>0</v>
      </c>
      <c r="AF37" s="17" t="b">
        <v>0</v>
      </c>
      <c r="AG37" s="17" t="b">
        <v>1</v>
      </c>
      <c r="AH37" s="17" t="b">
        <v>1</v>
      </c>
      <c r="AI37" s="17" t="b">
        <v>1</v>
      </c>
      <c r="AJ37" s="17" t="b">
        <v>1</v>
      </c>
      <c r="AK37" s="17" t="b">
        <v>0</v>
      </c>
      <c r="AL37" s="17" t="b">
        <v>1</v>
      </c>
      <c r="AM37" s="17" t="b">
        <v>0</v>
      </c>
      <c r="AN37" s="17" t="b">
        <v>0</v>
      </c>
      <c r="AO37" s="17" t="b">
        <v>1</v>
      </c>
      <c r="AP37" s="51">
        <f t="shared" si="6"/>
        <v>18</v>
      </c>
      <c r="AQ37" s="52">
        <f t="shared" si="7"/>
        <v>4</v>
      </c>
      <c r="AR37" s="53">
        <f t="shared" si="8"/>
        <v>4.5</v>
      </c>
      <c r="AS37" s="54" t="str">
        <f>IFERROR(__xludf.DUMMYFUNCTION("IF(B37="""","""",SPARKLINE(AR37,{""charttype"",""bar"";""max"",1;""color1"",""#fad5be""}))"),"")</f>
        <v/>
      </c>
      <c r="AX37" s="55">
        <v>4.5</v>
      </c>
      <c r="AY37" s="3" t="s">
        <v>38</v>
      </c>
      <c r="AZ37" s="3"/>
      <c r="BA37" s="3"/>
      <c r="BB37" s="56">
        <f t="shared" si="9"/>
        <v>4.5</v>
      </c>
      <c r="BC37" s="3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ht="15.75" customHeight="1">
      <c r="A38" s="17">
        <v>4.0</v>
      </c>
      <c r="B38" s="17" t="s">
        <v>39</v>
      </c>
      <c r="I38" s="17">
        <v>25.0</v>
      </c>
      <c r="K38" s="17" t="b">
        <v>0</v>
      </c>
      <c r="L38" s="17" t="b">
        <v>1</v>
      </c>
      <c r="M38" s="17" t="b">
        <v>1</v>
      </c>
      <c r="N38" s="17" t="b">
        <v>1</v>
      </c>
      <c r="O38" s="17" t="b">
        <v>1</v>
      </c>
      <c r="P38" s="1" t="b">
        <v>0</v>
      </c>
      <c r="Q38" s="17" t="b">
        <v>1</v>
      </c>
      <c r="R38" s="1" t="b">
        <v>0</v>
      </c>
      <c r="S38" s="17" t="b">
        <v>1</v>
      </c>
      <c r="T38" s="1" t="b">
        <v>0</v>
      </c>
      <c r="U38" s="17" t="b">
        <v>1</v>
      </c>
      <c r="V38" s="1" t="b">
        <v>0</v>
      </c>
      <c r="W38" s="1" t="b">
        <v>0</v>
      </c>
      <c r="X38" s="17" t="b">
        <v>1</v>
      </c>
      <c r="Y38" s="1" t="b">
        <v>0</v>
      </c>
      <c r="Z38" s="1" t="b">
        <v>0</v>
      </c>
      <c r="AA38" s="1" t="b">
        <v>0</v>
      </c>
      <c r="AB38" s="1" t="b">
        <v>0</v>
      </c>
      <c r="AC38" s="17" t="b">
        <v>1</v>
      </c>
      <c r="AD38" s="1" t="b">
        <v>0</v>
      </c>
      <c r="AE38" s="1" t="b">
        <v>0</v>
      </c>
      <c r="AF38" s="1" t="b">
        <v>0</v>
      </c>
      <c r="AG38" s="17" t="b">
        <v>1</v>
      </c>
      <c r="AH38" s="17" t="b">
        <v>0</v>
      </c>
      <c r="AI38" s="17" t="b">
        <v>1</v>
      </c>
      <c r="AJ38" s="1" t="b">
        <v>0</v>
      </c>
      <c r="AK38" s="1" t="b">
        <v>0</v>
      </c>
      <c r="AL38" s="17" t="b">
        <v>1</v>
      </c>
      <c r="AM38" s="1" t="b">
        <v>0</v>
      </c>
      <c r="AN38" s="1" t="b">
        <v>0</v>
      </c>
      <c r="AO38" s="1" t="b">
        <v>0</v>
      </c>
      <c r="AP38" s="51">
        <f t="shared" si="6"/>
        <v>12</v>
      </c>
      <c r="AQ38" s="52">
        <f t="shared" si="7"/>
        <v>13</v>
      </c>
      <c r="AR38" s="53">
        <f t="shared" si="8"/>
        <v>0.9230769231</v>
      </c>
      <c r="AS38" s="54" t="str">
        <f>IFERROR(__xludf.DUMMYFUNCTION("IF(B38="""","""",SPARKLINE(AR38,{""charttype"",""bar"";""max"",1;""color1"",""#fad5be""}))"),"")</f>
        <v/>
      </c>
      <c r="AX38" s="55">
        <v>4.0</v>
      </c>
      <c r="AY38" s="3" t="s">
        <v>34</v>
      </c>
      <c r="AZ38" s="3"/>
      <c r="BA38" s="3"/>
      <c r="BB38" s="56">
        <f t="shared" si="9"/>
        <v>4</v>
      </c>
      <c r="BC38" s="3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</row>
    <row r="39" ht="15.75" customHeight="1">
      <c r="A39" s="17">
        <v>5.0</v>
      </c>
      <c r="B39" s="17" t="s">
        <v>40</v>
      </c>
      <c r="I39" s="17">
        <v>15.0</v>
      </c>
      <c r="K39" s="17" t="b">
        <v>0</v>
      </c>
      <c r="L39" s="1" t="b">
        <v>0</v>
      </c>
      <c r="M39" s="1" t="b">
        <v>0</v>
      </c>
      <c r="N39" s="1" t="b">
        <v>0</v>
      </c>
      <c r="O39" s="1" t="b">
        <v>0</v>
      </c>
      <c r="P39" s="1" t="b">
        <v>0</v>
      </c>
      <c r="Q39" s="1" t="b">
        <v>0</v>
      </c>
      <c r="R39" s="1" t="b">
        <v>0</v>
      </c>
      <c r="S39" s="1" t="b">
        <v>0</v>
      </c>
      <c r="T39" s="1" t="b">
        <v>0</v>
      </c>
      <c r="U39" s="1" t="b">
        <v>0</v>
      </c>
      <c r="V39" s="1" t="b">
        <v>0</v>
      </c>
      <c r="W39" s="1" t="b">
        <v>0</v>
      </c>
      <c r="X39" s="1" t="b">
        <v>0</v>
      </c>
      <c r="Y39" s="1" t="b">
        <v>0</v>
      </c>
      <c r="Z39" s="1" t="b">
        <v>0</v>
      </c>
      <c r="AA39" s="1" t="b">
        <v>0</v>
      </c>
      <c r="AB39" s="17" t="b">
        <v>1</v>
      </c>
      <c r="AC39" s="1" t="b">
        <v>0</v>
      </c>
      <c r="AD39" s="17" t="b">
        <v>1</v>
      </c>
      <c r="AE39" s="1" t="b">
        <v>0</v>
      </c>
      <c r="AF39" s="17" t="b">
        <v>1</v>
      </c>
      <c r="AG39" s="17" t="b">
        <v>1</v>
      </c>
      <c r="AH39" s="17" t="b">
        <v>1</v>
      </c>
      <c r="AI39" s="17" t="b">
        <v>1</v>
      </c>
      <c r="AJ39" s="1" t="b">
        <v>0</v>
      </c>
      <c r="AK39" s="1" t="b">
        <v>0</v>
      </c>
      <c r="AL39" s="17" t="b">
        <v>1</v>
      </c>
      <c r="AM39" s="17" t="b">
        <v>1</v>
      </c>
      <c r="AN39" s="17" t="b">
        <v>1</v>
      </c>
      <c r="AO39" s="17" t="b">
        <v>1</v>
      </c>
      <c r="AP39" s="51">
        <f t="shared" si="6"/>
        <v>10</v>
      </c>
      <c r="AQ39" s="52">
        <f t="shared" si="7"/>
        <v>5</v>
      </c>
      <c r="AR39" s="53">
        <f t="shared" si="8"/>
        <v>2</v>
      </c>
      <c r="AS39" s="54" t="str">
        <f>IFERROR(__xludf.DUMMYFUNCTION("IF(B39="""","""",SPARKLINE(AR39,{""charttype"",""bar"";""max"",1;""color1"",""#fad5be""}))"),"")</f>
        <v/>
      </c>
      <c r="AX39" s="55">
        <v>2.0</v>
      </c>
      <c r="AY39" s="3" t="s">
        <v>40</v>
      </c>
      <c r="AZ39" s="3"/>
      <c r="BA39" s="3"/>
      <c r="BB39" s="56">
        <f t="shared" si="9"/>
        <v>2</v>
      </c>
      <c r="BC39" s="3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</row>
    <row r="40" ht="15.75" customHeight="1">
      <c r="A40" s="17">
        <v>6.0</v>
      </c>
      <c r="B40" s="17" t="s">
        <v>37</v>
      </c>
      <c r="I40" s="17">
        <v>30.0</v>
      </c>
      <c r="K40" s="17" t="b">
        <v>1</v>
      </c>
      <c r="L40" s="17" t="b">
        <v>1</v>
      </c>
      <c r="M40" s="17" t="b">
        <v>1</v>
      </c>
      <c r="N40" s="17" t="b">
        <v>1</v>
      </c>
      <c r="O40" s="17" t="b">
        <v>1</v>
      </c>
      <c r="P40" s="17" t="b">
        <v>1</v>
      </c>
      <c r="Q40" s="17" t="b">
        <v>1</v>
      </c>
      <c r="R40" s="17" t="b">
        <v>1</v>
      </c>
      <c r="S40" s="17" t="b">
        <v>1</v>
      </c>
      <c r="T40" s="17" t="b">
        <v>1</v>
      </c>
      <c r="U40" s="17" t="b">
        <v>1</v>
      </c>
      <c r="V40" s="17" t="b">
        <v>1</v>
      </c>
      <c r="W40" s="1" t="b">
        <v>0</v>
      </c>
      <c r="X40" s="17" t="b">
        <v>1</v>
      </c>
      <c r="Y40" s="17" t="b">
        <v>1</v>
      </c>
      <c r="Z40" s="17" t="b">
        <v>1</v>
      </c>
      <c r="AA40" s="1" t="b">
        <v>0</v>
      </c>
      <c r="AB40" s="17" t="b">
        <v>1</v>
      </c>
      <c r="AC40" s="17" t="b">
        <v>1</v>
      </c>
      <c r="AD40" s="1" t="b">
        <v>0</v>
      </c>
      <c r="AE40" s="17" t="b">
        <v>1</v>
      </c>
      <c r="AF40" s="17" t="b">
        <v>1</v>
      </c>
      <c r="AG40" s="17" t="b">
        <v>1</v>
      </c>
      <c r="AH40" s="17" t="b">
        <v>1</v>
      </c>
      <c r="AI40" s="1" t="b">
        <v>0</v>
      </c>
      <c r="AJ40" s="17" t="b">
        <v>1</v>
      </c>
      <c r="AK40" s="17" t="b">
        <v>1</v>
      </c>
      <c r="AL40" s="1" t="b">
        <v>0</v>
      </c>
      <c r="AM40" s="17" t="b">
        <v>1</v>
      </c>
      <c r="AN40" s="17" t="b">
        <v>1</v>
      </c>
      <c r="AO40" s="17" t="b">
        <v>1</v>
      </c>
      <c r="AP40" s="51">
        <f t="shared" si="6"/>
        <v>26</v>
      </c>
      <c r="AQ40" s="52">
        <f t="shared" si="7"/>
        <v>4</v>
      </c>
      <c r="AR40" s="53">
        <f t="shared" si="8"/>
        <v>6.5</v>
      </c>
      <c r="AS40" s="54" t="str">
        <f>IFERROR(__xludf.DUMMYFUNCTION("IF(B40="""","""",SPARKLINE(AR40,{""charttype"",""bar"";""max"",1;""color1"",""#fad5be""}))"),"")</f>
        <v/>
      </c>
      <c r="AX40" s="55">
        <v>1.0</v>
      </c>
      <c r="AY40" s="3" t="s">
        <v>36</v>
      </c>
      <c r="AZ40" s="3"/>
      <c r="BA40" s="3"/>
      <c r="BB40" s="56">
        <f t="shared" si="9"/>
        <v>1</v>
      </c>
      <c r="BC40" s="3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</row>
    <row r="41" ht="15.75" customHeight="1">
      <c r="A41" s="17">
        <v>7.0</v>
      </c>
      <c r="B41" s="17" t="s">
        <v>35</v>
      </c>
      <c r="I41" s="17">
        <v>25.0</v>
      </c>
      <c r="K41" s="17" t="b">
        <v>1</v>
      </c>
      <c r="L41" s="17" t="b">
        <v>1</v>
      </c>
      <c r="M41" s="17" t="b">
        <v>1</v>
      </c>
      <c r="N41" s="17" t="b">
        <v>1</v>
      </c>
      <c r="O41" s="17" t="b">
        <v>1</v>
      </c>
      <c r="P41" s="17" t="b">
        <v>1</v>
      </c>
      <c r="Q41" s="17" t="b">
        <v>1</v>
      </c>
      <c r="R41" s="17" t="b">
        <v>1</v>
      </c>
      <c r="S41" s="17" t="b">
        <v>1</v>
      </c>
      <c r="T41" s="17" t="b">
        <v>1</v>
      </c>
      <c r="U41" s="1" t="b">
        <v>0</v>
      </c>
      <c r="V41" s="17" t="b">
        <v>1</v>
      </c>
      <c r="W41" s="17" t="b">
        <v>1</v>
      </c>
      <c r="X41" s="17" t="b">
        <v>1</v>
      </c>
      <c r="Y41" s="17" t="b">
        <v>1</v>
      </c>
      <c r="Z41" s="1" t="b">
        <v>0</v>
      </c>
      <c r="AA41" s="1" t="b">
        <v>0</v>
      </c>
      <c r="AB41" s="1" t="b">
        <v>0</v>
      </c>
      <c r="AC41" s="17" t="b">
        <v>1</v>
      </c>
      <c r="AD41" s="17" t="b">
        <v>1</v>
      </c>
      <c r="AE41" s="17" t="b">
        <v>1</v>
      </c>
      <c r="AF41" s="1" t="b">
        <v>0</v>
      </c>
      <c r="AG41" s="1" t="b">
        <v>0</v>
      </c>
      <c r="AH41" s="17" t="b">
        <v>0</v>
      </c>
      <c r="AI41" s="17" t="b">
        <v>1</v>
      </c>
      <c r="AJ41" s="17" t="b">
        <v>1</v>
      </c>
      <c r="AK41" s="17" t="b">
        <v>1</v>
      </c>
      <c r="AL41" s="17" t="b">
        <v>1</v>
      </c>
      <c r="AM41" s="17" t="b">
        <v>1</v>
      </c>
      <c r="AN41" s="17" t="b">
        <v>1</v>
      </c>
      <c r="AO41" s="1" t="b">
        <v>0</v>
      </c>
      <c r="AP41" s="51">
        <f t="shared" si="6"/>
        <v>23</v>
      </c>
      <c r="AQ41" s="52">
        <f t="shared" si="7"/>
        <v>2</v>
      </c>
      <c r="AR41" s="53">
        <f t="shared" si="8"/>
        <v>11.5</v>
      </c>
      <c r="AS41" s="54" t="str">
        <f>IFERROR(__xludf.DUMMYFUNCTION("IF(B41="""","""",SPARKLINE(AR41,{""charttype"",""bar"";""max"",1;""color1"",""#fad5be""}))"),"")</f>
        <v/>
      </c>
      <c r="AX41" s="55">
        <v>0.9230769230769231</v>
      </c>
      <c r="AY41" s="3" t="s">
        <v>39</v>
      </c>
      <c r="AZ41" s="3"/>
      <c r="BA41" s="3"/>
      <c r="BB41" s="56">
        <f t="shared" si="9"/>
        <v>0.9230769231</v>
      </c>
      <c r="BC41" s="3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</row>
    <row r="42" ht="15.75" customHeight="1">
      <c r="A42" s="17">
        <v>8.0</v>
      </c>
      <c r="B42" s="17" t="s">
        <v>41</v>
      </c>
      <c r="I42" s="17">
        <v>20.0</v>
      </c>
      <c r="K42" s="1" t="b">
        <v>0</v>
      </c>
      <c r="L42" s="1" t="b">
        <v>0</v>
      </c>
      <c r="M42" s="1" t="b">
        <v>0</v>
      </c>
      <c r="N42" s="1" t="b">
        <v>0</v>
      </c>
      <c r="O42" s="1" t="b">
        <v>0</v>
      </c>
      <c r="P42" s="1" t="b">
        <v>0</v>
      </c>
      <c r="Q42" s="1" t="b">
        <v>0</v>
      </c>
      <c r="R42" s="1" t="b">
        <v>0</v>
      </c>
      <c r="S42" s="17" t="b">
        <v>1</v>
      </c>
      <c r="T42" s="1" t="b">
        <v>0</v>
      </c>
      <c r="U42" s="1" t="b">
        <v>0</v>
      </c>
      <c r="V42" s="1" t="b">
        <v>0</v>
      </c>
      <c r="W42" s="1" t="b">
        <v>0</v>
      </c>
      <c r="X42" s="1" t="b">
        <v>0</v>
      </c>
      <c r="Y42" s="17" t="b">
        <v>1</v>
      </c>
      <c r="Z42" s="1" t="b">
        <v>0</v>
      </c>
      <c r="AA42" s="1" t="b">
        <v>0</v>
      </c>
      <c r="AB42" s="1" t="b">
        <v>0</v>
      </c>
      <c r="AC42" s="1" t="b">
        <v>0</v>
      </c>
      <c r="AD42" s="1" t="b">
        <v>0</v>
      </c>
      <c r="AE42" s="17" t="b">
        <v>1</v>
      </c>
      <c r="AF42" s="1" t="b">
        <v>0</v>
      </c>
      <c r="AG42" s="1" t="b">
        <v>0</v>
      </c>
      <c r="AH42" s="1" t="b">
        <v>0</v>
      </c>
      <c r="AI42" s="1" t="b">
        <v>0</v>
      </c>
      <c r="AJ42" s="1" t="b">
        <v>0</v>
      </c>
      <c r="AK42" s="1" t="b">
        <v>0</v>
      </c>
      <c r="AL42" s="1" t="b">
        <v>0</v>
      </c>
      <c r="AM42" s="17" t="b">
        <v>1</v>
      </c>
      <c r="AN42" s="1" t="b">
        <v>0</v>
      </c>
      <c r="AO42" s="1" t="b">
        <v>0</v>
      </c>
      <c r="AP42" s="51">
        <f t="shared" si="6"/>
        <v>4</v>
      </c>
      <c r="AQ42" s="52">
        <f t="shared" si="7"/>
        <v>16</v>
      </c>
      <c r="AR42" s="53">
        <f t="shared" si="8"/>
        <v>0.25</v>
      </c>
      <c r="AS42" s="54" t="str">
        <f>IFERROR(__xludf.DUMMYFUNCTION("IF(B42="""","""",SPARKLINE(AR42,{""charttype"",""bar"";""max"",1;""color1"",""#fad5be""}))"),"")</f>
        <v/>
      </c>
      <c r="AX42" s="55">
        <v>0.25</v>
      </c>
      <c r="AY42" s="3" t="s">
        <v>41</v>
      </c>
      <c r="AZ42" s="3"/>
      <c r="BA42" s="3"/>
      <c r="BB42" s="56">
        <f t="shared" si="9"/>
        <v>0.25</v>
      </c>
      <c r="BC42" s="3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</row>
    <row r="43" ht="15.75" customHeight="1">
      <c r="A43" s="17">
        <v>9.0</v>
      </c>
      <c r="B43" s="17" t="s">
        <v>42</v>
      </c>
      <c r="I43" s="17">
        <v>26.0</v>
      </c>
      <c r="K43" s="1" t="b">
        <v>0</v>
      </c>
      <c r="L43" s="1" t="b">
        <v>0</v>
      </c>
      <c r="M43" s="1" t="b">
        <v>0</v>
      </c>
      <c r="N43" s="1" t="b">
        <v>0</v>
      </c>
      <c r="O43" s="1" t="b">
        <v>0</v>
      </c>
      <c r="P43" s="1" t="b">
        <v>0</v>
      </c>
      <c r="Q43" s="17" t="b">
        <v>1</v>
      </c>
      <c r="R43" s="1" t="b">
        <v>0</v>
      </c>
      <c r="S43" s="1" t="b">
        <v>0</v>
      </c>
      <c r="T43" s="1" t="b">
        <v>0</v>
      </c>
      <c r="U43" s="1" t="b">
        <v>0</v>
      </c>
      <c r="V43" s="1" t="b">
        <v>0</v>
      </c>
      <c r="W43" s="17" t="b">
        <v>1</v>
      </c>
      <c r="X43" s="1" t="b">
        <v>0</v>
      </c>
      <c r="Y43" s="1" t="b">
        <v>0</v>
      </c>
      <c r="Z43" s="1" t="b">
        <v>0</v>
      </c>
      <c r="AA43" s="1" t="b">
        <v>0</v>
      </c>
      <c r="AB43" s="1" t="b">
        <v>0</v>
      </c>
      <c r="AC43" s="1" t="b">
        <v>0</v>
      </c>
      <c r="AD43" s="1" t="b">
        <v>0</v>
      </c>
      <c r="AE43" s="1" t="b">
        <v>0</v>
      </c>
      <c r="AF43" s="17" t="b">
        <v>1</v>
      </c>
      <c r="AG43" s="1" t="b">
        <v>0</v>
      </c>
      <c r="AH43" s="1" t="b">
        <v>0</v>
      </c>
      <c r="AI43" s="1" t="b">
        <v>0</v>
      </c>
      <c r="AJ43" s="1" t="b">
        <v>0</v>
      </c>
      <c r="AK43" s="17" t="b">
        <v>1</v>
      </c>
      <c r="AL43" s="1" t="b">
        <v>0</v>
      </c>
      <c r="AM43" s="1" t="b">
        <v>0</v>
      </c>
      <c r="AN43" s="1" t="b">
        <v>0</v>
      </c>
      <c r="AO43" s="1" t="b">
        <v>0</v>
      </c>
      <c r="AP43" s="51">
        <f t="shared" si="6"/>
        <v>4</v>
      </c>
      <c r="AQ43" s="52">
        <f t="shared" si="7"/>
        <v>22</v>
      </c>
      <c r="AR43" s="53">
        <f t="shared" si="8"/>
        <v>0.1818181818</v>
      </c>
      <c r="AS43" s="54" t="str">
        <f>IFERROR(__xludf.DUMMYFUNCTION("IF(B43="""","""",SPARKLINE(AR43,{""charttype"",""bar"";""max"",1;""color1"",""#fad5be""}))"),"")</f>
        <v/>
      </c>
      <c r="AX43" s="55">
        <v>0.18181818181818182</v>
      </c>
      <c r="AY43" s="3" t="s">
        <v>42</v>
      </c>
      <c r="AZ43" s="3"/>
      <c r="BA43" s="3"/>
      <c r="BB43" s="56">
        <f t="shared" si="9"/>
        <v>0.1818181818</v>
      </c>
      <c r="BC43" s="3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</row>
    <row r="44" ht="15.75" customHeight="1">
      <c r="A44" s="17">
        <v>10.0</v>
      </c>
      <c r="B44" s="1"/>
      <c r="I44" s="1"/>
      <c r="K44" s="1" t="b">
        <v>0</v>
      </c>
      <c r="L44" s="1" t="b">
        <v>0</v>
      </c>
      <c r="M44" s="1" t="b">
        <v>0</v>
      </c>
      <c r="N44" s="1" t="b">
        <v>0</v>
      </c>
      <c r="O44" s="1" t="b">
        <v>0</v>
      </c>
      <c r="P44" s="1" t="b">
        <v>0</v>
      </c>
      <c r="Q44" s="1" t="b">
        <v>0</v>
      </c>
      <c r="R44" s="1" t="b">
        <v>0</v>
      </c>
      <c r="S44" s="1" t="b">
        <v>0</v>
      </c>
      <c r="T44" s="1" t="b">
        <v>0</v>
      </c>
      <c r="U44" s="1" t="b">
        <v>0</v>
      </c>
      <c r="V44" s="1" t="b">
        <v>0</v>
      </c>
      <c r="W44" s="1" t="b">
        <v>0</v>
      </c>
      <c r="X44" s="1" t="b">
        <v>0</v>
      </c>
      <c r="Y44" s="1" t="b">
        <v>0</v>
      </c>
      <c r="Z44" s="1" t="b">
        <v>0</v>
      </c>
      <c r="AA44" s="1" t="b">
        <v>0</v>
      </c>
      <c r="AB44" s="1" t="b">
        <v>0</v>
      </c>
      <c r="AC44" s="1" t="b">
        <v>0</v>
      </c>
      <c r="AD44" s="1" t="b">
        <v>0</v>
      </c>
      <c r="AE44" s="1" t="b">
        <v>0</v>
      </c>
      <c r="AF44" s="1" t="b">
        <v>0</v>
      </c>
      <c r="AG44" s="1" t="b">
        <v>0</v>
      </c>
      <c r="AH44" s="1" t="b">
        <v>0</v>
      </c>
      <c r="AI44" s="1" t="b">
        <v>0</v>
      </c>
      <c r="AJ44" s="1" t="b">
        <v>0</v>
      </c>
      <c r="AK44" s="1" t="b">
        <v>0</v>
      </c>
      <c r="AL44" s="1" t="b">
        <v>0</v>
      </c>
      <c r="AM44" s="1" t="b">
        <v>0</v>
      </c>
      <c r="AN44" s="1" t="b">
        <v>0</v>
      </c>
      <c r="AO44" s="1" t="b">
        <v>0</v>
      </c>
      <c r="AP44" s="1"/>
      <c r="AQ44" s="1"/>
      <c r="AR44" s="51" t="str">
        <f t="shared" ref="AR44:AR60" si="10">IF(B46="","",COUNTIF(K46:AO46,TRUE))</f>
        <v/>
      </c>
      <c r="AS44" s="52" t="str">
        <f t="shared" ref="AS44:AS59" si="11">IF(B46="","",I46-AR44)</f>
        <v/>
      </c>
      <c r="AT44" s="1"/>
      <c r="AU44" s="54" t="str">
        <f>IFERROR(__xludf.DUMMYFUNCTION("IF(B46="""","""",SPARKLINE(#REF!,{""charttype"",""bar"";""max"",1;""color1"",""#fad5be""}))"),"")</f>
        <v/>
      </c>
      <c r="AV44" s="54"/>
      <c r="AW44" s="54"/>
      <c r="AX44" s="4"/>
      <c r="AY44" s="3"/>
      <c r="AZ44" s="3"/>
      <c r="BA44" s="3"/>
      <c r="BB44" s="56" t="str">
        <f t="shared" si="9"/>
        <v/>
      </c>
      <c r="BC44" s="3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</row>
    <row r="45" ht="15.75" customHeight="1">
      <c r="A45" s="17">
        <v>11.0</v>
      </c>
      <c r="B45" s="1"/>
      <c r="I45" s="1"/>
      <c r="K45" s="1" t="b">
        <v>0</v>
      </c>
      <c r="L45" s="1" t="b">
        <v>0</v>
      </c>
      <c r="M45" s="1" t="b">
        <v>0</v>
      </c>
      <c r="N45" s="1" t="b">
        <v>0</v>
      </c>
      <c r="O45" s="1" t="b">
        <v>0</v>
      </c>
      <c r="P45" s="1" t="b">
        <v>0</v>
      </c>
      <c r="Q45" s="1" t="b">
        <v>0</v>
      </c>
      <c r="R45" s="1" t="b">
        <v>0</v>
      </c>
      <c r="S45" s="1" t="b">
        <v>0</v>
      </c>
      <c r="T45" s="1" t="b">
        <v>0</v>
      </c>
      <c r="U45" s="1" t="b">
        <v>0</v>
      </c>
      <c r="V45" s="1" t="b">
        <v>0</v>
      </c>
      <c r="W45" s="1" t="b">
        <v>0</v>
      </c>
      <c r="X45" s="1" t="b">
        <v>0</v>
      </c>
      <c r="Y45" s="1" t="b">
        <v>0</v>
      </c>
      <c r="Z45" s="1" t="b">
        <v>0</v>
      </c>
      <c r="AA45" s="1" t="b">
        <v>0</v>
      </c>
      <c r="AB45" s="1" t="b">
        <v>0</v>
      </c>
      <c r="AC45" s="17" t="b">
        <v>0</v>
      </c>
      <c r="AD45" s="1" t="b">
        <v>0</v>
      </c>
      <c r="AE45" s="1" t="b">
        <v>0</v>
      </c>
      <c r="AF45" s="1" t="b">
        <v>0</v>
      </c>
      <c r="AG45" s="1" t="b">
        <v>0</v>
      </c>
      <c r="AH45" s="1" t="b">
        <v>0</v>
      </c>
      <c r="AI45" s="1" t="b">
        <v>0</v>
      </c>
      <c r="AJ45" s="1" t="b">
        <v>0</v>
      </c>
      <c r="AK45" s="1" t="b">
        <v>0</v>
      </c>
      <c r="AL45" s="1" t="b">
        <v>0</v>
      </c>
      <c r="AM45" s="1" t="b">
        <v>0</v>
      </c>
      <c r="AN45" s="1" t="b">
        <v>0</v>
      </c>
      <c r="AO45" s="1" t="b">
        <v>0</v>
      </c>
      <c r="AP45" s="1"/>
      <c r="AQ45" s="1"/>
      <c r="AR45" s="51" t="str">
        <f t="shared" si="10"/>
        <v/>
      </c>
      <c r="AS45" s="52" t="str">
        <f t="shared" si="11"/>
        <v/>
      </c>
      <c r="AT45" s="1"/>
      <c r="AU45" s="54" t="str">
        <f>IFERROR(__xludf.DUMMYFUNCTION("IF(B47="""","""",SPARKLINE(#REF!,{""charttype"",""bar"";""max"",1;""color1"",""#fad5be""}))"),"")</f>
        <v/>
      </c>
      <c r="AV45" s="54"/>
      <c r="AW45" s="54"/>
      <c r="AX45" s="4"/>
      <c r="AY45" s="3"/>
      <c r="AZ45" s="3"/>
      <c r="BA45" s="3"/>
      <c r="BB45" s="56" t="str">
        <f t="shared" si="9"/>
        <v/>
      </c>
      <c r="BC45" s="3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</row>
    <row r="46" ht="15.75" customHeight="1">
      <c r="A46" s="17">
        <v>12.0</v>
      </c>
      <c r="B46" s="1"/>
      <c r="I46" s="1"/>
      <c r="K46" s="1" t="b">
        <v>0</v>
      </c>
      <c r="L46" s="1" t="b">
        <v>0</v>
      </c>
      <c r="M46" s="1" t="b">
        <v>0</v>
      </c>
      <c r="N46" s="1" t="b">
        <v>0</v>
      </c>
      <c r="O46" s="1" t="b">
        <v>0</v>
      </c>
      <c r="P46" s="1" t="b">
        <v>0</v>
      </c>
      <c r="Q46" s="1" t="b">
        <v>0</v>
      </c>
      <c r="R46" s="1" t="b">
        <v>0</v>
      </c>
      <c r="S46" s="1" t="b">
        <v>0</v>
      </c>
      <c r="T46" s="1" t="b">
        <v>0</v>
      </c>
      <c r="U46" s="1" t="b">
        <v>0</v>
      </c>
      <c r="V46" s="1" t="b">
        <v>0</v>
      </c>
      <c r="W46" s="1" t="b">
        <v>0</v>
      </c>
      <c r="X46" s="1" t="b">
        <v>0</v>
      </c>
      <c r="Y46" s="1" t="b">
        <v>0</v>
      </c>
      <c r="Z46" s="1" t="b">
        <v>0</v>
      </c>
      <c r="AA46" s="1" t="b">
        <v>0</v>
      </c>
      <c r="AB46" s="1" t="b">
        <v>0</v>
      </c>
      <c r="AC46" s="1" t="b">
        <v>0</v>
      </c>
      <c r="AD46" s="1" t="b">
        <v>0</v>
      </c>
      <c r="AE46" s="1" t="b">
        <v>0</v>
      </c>
      <c r="AF46" s="1" t="b">
        <v>0</v>
      </c>
      <c r="AG46" s="1" t="b">
        <v>0</v>
      </c>
      <c r="AH46" s="1" t="b">
        <v>0</v>
      </c>
      <c r="AI46" s="1" t="b">
        <v>0</v>
      </c>
      <c r="AJ46" s="1" t="b">
        <v>0</v>
      </c>
      <c r="AK46" s="17" t="b">
        <v>0</v>
      </c>
      <c r="AL46" s="1" t="b">
        <v>0</v>
      </c>
      <c r="AM46" s="1" t="b">
        <v>0</v>
      </c>
      <c r="AN46" s="1" t="b">
        <v>0</v>
      </c>
      <c r="AO46" s="1" t="b">
        <v>0</v>
      </c>
      <c r="AP46" s="1"/>
      <c r="AQ46" s="1"/>
      <c r="AR46" s="51" t="str">
        <f t="shared" si="10"/>
        <v/>
      </c>
      <c r="AS46" s="52" t="str">
        <f t="shared" si="11"/>
        <v/>
      </c>
      <c r="AT46" s="1"/>
      <c r="AU46" s="54" t="str">
        <f>IFERROR(__xludf.DUMMYFUNCTION("IF(B48="""","""",SPARKLINE(#REF!,{""charttype"",""bar"";""max"",1;""color1"",""#fad5be""}))"),"")</f>
        <v/>
      </c>
      <c r="AV46" s="54"/>
      <c r="AW46" s="54"/>
      <c r="AX46" s="4"/>
      <c r="AY46" s="3"/>
      <c r="AZ46" s="3"/>
      <c r="BA46" s="3"/>
      <c r="BB46" s="56" t="str">
        <f t="shared" si="9"/>
        <v/>
      </c>
      <c r="BC46" s="3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</row>
    <row r="47" ht="15.75" customHeight="1">
      <c r="A47" s="17">
        <v>13.0</v>
      </c>
      <c r="B47" s="1"/>
      <c r="I47" s="1"/>
      <c r="K47" s="1" t="b">
        <v>0</v>
      </c>
      <c r="L47" s="1" t="b">
        <v>0</v>
      </c>
      <c r="M47" s="1" t="b">
        <v>0</v>
      </c>
      <c r="N47" s="1" t="b">
        <v>0</v>
      </c>
      <c r="O47" s="1" t="b">
        <v>0</v>
      </c>
      <c r="P47" s="1" t="b">
        <v>0</v>
      </c>
      <c r="Q47" s="1" t="b">
        <v>0</v>
      </c>
      <c r="R47" s="1" t="b">
        <v>0</v>
      </c>
      <c r="S47" s="1" t="b">
        <v>0</v>
      </c>
      <c r="T47" s="1" t="b">
        <v>0</v>
      </c>
      <c r="U47" s="1" t="b">
        <v>0</v>
      </c>
      <c r="V47" s="1" t="b">
        <v>0</v>
      </c>
      <c r="W47" s="1" t="b">
        <v>0</v>
      </c>
      <c r="X47" s="1" t="b">
        <v>0</v>
      </c>
      <c r="Y47" s="1" t="b">
        <v>0</v>
      </c>
      <c r="Z47" s="1" t="b">
        <v>0</v>
      </c>
      <c r="AA47" s="1" t="b">
        <v>0</v>
      </c>
      <c r="AB47" s="1" t="b">
        <v>0</v>
      </c>
      <c r="AC47" s="1" t="b">
        <v>0</v>
      </c>
      <c r="AD47" s="1" t="b">
        <v>0</v>
      </c>
      <c r="AE47" s="1" t="b">
        <v>0</v>
      </c>
      <c r="AF47" s="1" t="b">
        <v>0</v>
      </c>
      <c r="AG47" s="1" t="b">
        <v>0</v>
      </c>
      <c r="AH47" s="1" t="b">
        <v>0</v>
      </c>
      <c r="AI47" s="1" t="b">
        <v>0</v>
      </c>
      <c r="AJ47" s="1" t="b">
        <v>0</v>
      </c>
      <c r="AK47" s="1" t="b">
        <v>0</v>
      </c>
      <c r="AL47" s="1" t="b">
        <v>0</v>
      </c>
      <c r="AM47" s="1" t="b">
        <v>0</v>
      </c>
      <c r="AN47" s="1" t="b">
        <v>0</v>
      </c>
      <c r="AO47" s="1" t="b">
        <v>0</v>
      </c>
      <c r="AP47" s="1"/>
      <c r="AQ47" s="1"/>
      <c r="AR47" s="51" t="str">
        <f t="shared" si="10"/>
        <v/>
      </c>
      <c r="AS47" s="52" t="str">
        <f t="shared" si="11"/>
        <v/>
      </c>
      <c r="AT47" s="1"/>
      <c r="AU47" s="54" t="str">
        <f>IFERROR(__xludf.DUMMYFUNCTION("IF(B49="""","""",SPARKLINE(#REF!,{""charttype"",""bar"";""max"",1;""color1"",""#fad5be""}))"),"")</f>
        <v/>
      </c>
      <c r="AV47" s="54"/>
      <c r="AW47" s="54"/>
      <c r="AX47" s="4"/>
      <c r="AY47" s="3"/>
      <c r="AZ47" s="3"/>
      <c r="BA47" s="3"/>
      <c r="BB47" s="56" t="str">
        <f t="shared" si="9"/>
        <v/>
      </c>
      <c r="BC47" s="3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</row>
    <row r="48" ht="15.75" customHeight="1">
      <c r="A48" s="17">
        <v>14.0</v>
      </c>
      <c r="B48" s="1"/>
      <c r="I48" s="1"/>
      <c r="K48" s="1" t="b">
        <v>0</v>
      </c>
      <c r="L48" s="1" t="b">
        <v>0</v>
      </c>
      <c r="M48" s="1" t="b">
        <v>0</v>
      </c>
      <c r="N48" s="1" t="b">
        <v>0</v>
      </c>
      <c r="O48" s="1" t="b">
        <v>0</v>
      </c>
      <c r="P48" s="1" t="b">
        <v>0</v>
      </c>
      <c r="Q48" s="1" t="b">
        <v>0</v>
      </c>
      <c r="R48" s="1" t="b">
        <v>0</v>
      </c>
      <c r="S48" s="1" t="b">
        <v>0</v>
      </c>
      <c r="T48" s="1" t="b">
        <v>0</v>
      </c>
      <c r="U48" s="1" t="b">
        <v>0</v>
      </c>
      <c r="V48" s="1" t="b">
        <v>0</v>
      </c>
      <c r="W48" s="1" t="b">
        <v>0</v>
      </c>
      <c r="X48" s="1" t="b">
        <v>0</v>
      </c>
      <c r="Y48" s="1" t="b">
        <v>0</v>
      </c>
      <c r="Z48" s="1" t="b">
        <v>0</v>
      </c>
      <c r="AA48" s="1" t="b">
        <v>0</v>
      </c>
      <c r="AB48" s="1" t="b">
        <v>0</v>
      </c>
      <c r="AC48" s="1" t="b">
        <v>0</v>
      </c>
      <c r="AD48" s="1" t="b">
        <v>0</v>
      </c>
      <c r="AE48" s="17" t="b">
        <v>0</v>
      </c>
      <c r="AF48" s="1" t="b">
        <v>0</v>
      </c>
      <c r="AG48" s="1" t="b">
        <v>0</v>
      </c>
      <c r="AH48" s="17" t="b">
        <v>0</v>
      </c>
      <c r="AI48" s="1" t="b">
        <v>0</v>
      </c>
      <c r="AJ48" s="1" t="b">
        <v>0</v>
      </c>
      <c r="AK48" s="1" t="b">
        <v>0</v>
      </c>
      <c r="AL48" s="1" t="b">
        <v>0</v>
      </c>
      <c r="AM48" s="1" t="b">
        <v>0</v>
      </c>
      <c r="AN48" s="17" t="b">
        <v>0</v>
      </c>
      <c r="AO48" s="1" t="b">
        <v>0</v>
      </c>
      <c r="AP48" s="1"/>
      <c r="AQ48" s="1"/>
      <c r="AR48" s="51" t="str">
        <f t="shared" si="10"/>
        <v/>
      </c>
      <c r="AS48" s="52" t="str">
        <f t="shared" si="11"/>
        <v/>
      </c>
      <c r="AT48" s="1"/>
      <c r="AU48" s="54" t="str">
        <f>IFERROR(__xludf.DUMMYFUNCTION("IF(B50="""","""",SPARKLINE(#REF!,{""charttype"",""bar"";""max"",1;""color1"",""#fad5be""}))"),"")</f>
        <v/>
      </c>
      <c r="AV48" s="54"/>
      <c r="AW48" s="54"/>
      <c r="AX48" s="4"/>
      <c r="AY48" s="3"/>
      <c r="AZ48" s="3"/>
      <c r="BA48" s="3"/>
      <c r="BB48" s="56" t="str">
        <f t="shared" si="9"/>
        <v/>
      </c>
      <c r="BC48" s="3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</row>
    <row r="49" ht="15.75" customHeight="1">
      <c r="A49" s="17">
        <v>15.0</v>
      </c>
      <c r="B49" s="1"/>
      <c r="I49" s="1"/>
      <c r="K49" s="1" t="b">
        <v>0</v>
      </c>
      <c r="L49" s="1" t="b">
        <v>0</v>
      </c>
      <c r="M49" s="1" t="b">
        <v>0</v>
      </c>
      <c r="N49" s="1" t="b">
        <v>0</v>
      </c>
      <c r="O49" s="1" t="b">
        <v>0</v>
      </c>
      <c r="P49" s="1" t="b">
        <v>0</v>
      </c>
      <c r="Q49" s="1" t="b">
        <v>0</v>
      </c>
      <c r="R49" s="1" t="b">
        <v>0</v>
      </c>
      <c r="S49" s="1" t="b">
        <v>0</v>
      </c>
      <c r="T49" s="1" t="b">
        <v>0</v>
      </c>
      <c r="U49" s="1" t="b">
        <v>0</v>
      </c>
      <c r="V49" s="1" t="b">
        <v>0</v>
      </c>
      <c r="W49" s="17" t="b">
        <v>0</v>
      </c>
      <c r="X49" s="1" t="b">
        <v>0</v>
      </c>
      <c r="Y49" s="17" t="b">
        <v>0</v>
      </c>
      <c r="Z49" s="1" t="b">
        <v>0</v>
      </c>
      <c r="AA49" s="1" t="b">
        <v>0</v>
      </c>
      <c r="AB49" s="1" t="b">
        <v>0</v>
      </c>
      <c r="AC49" s="17" t="b">
        <v>0</v>
      </c>
      <c r="AD49" s="1" t="b">
        <v>0</v>
      </c>
      <c r="AE49" s="1" t="b">
        <v>0</v>
      </c>
      <c r="AF49" s="1" t="b">
        <v>0</v>
      </c>
      <c r="AG49" s="1" t="b">
        <v>0</v>
      </c>
      <c r="AH49" s="1" t="b">
        <v>0</v>
      </c>
      <c r="AI49" s="1" t="b">
        <v>0</v>
      </c>
      <c r="AJ49" s="1" t="b">
        <v>0</v>
      </c>
      <c r="AK49" s="1" t="b">
        <v>0</v>
      </c>
      <c r="AL49" s="1" t="b">
        <v>0</v>
      </c>
      <c r="AM49" s="1" t="b">
        <v>0</v>
      </c>
      <c r="AN49" s="1" t="b">
        <v>0</v>
      </c>
      <c r="AO49" s="17" t="b">
        <v>0</v>
      </c>
      <c r="AP49" s="1"/>
      <c r="AQ49" s="1"/>
      <c r="AR49" s="51" t="str">
        <f t="shared" si="10"/>
        <v/>
      </c>
      <c r="AS49" s="52" t="str">
        <f t="shared" si="11"/>
        <v/>
      </c>
      <c r="AT49" s="1"/>
      <c r="AU49" s="54" t="str">
        <f>IFERROR(__xludf.DUMMYFUNCTION("IF(B51="""","""",SPARKLINE(#REF!,{""charttype"",""bar"";""max"",1;""color1"",""#fad5be""}))"),"")</f>
        <v/>
      </c>
      <c r="AV49" s="54"/>
      <c r="AW49" s="54"/>
      <c r="AX49" s="4"/>
      <c r="AY49" s="3"/>
      <c r="AZ49" s="3"/>
      <c r="BA49" s="3"/>
      <c r="BB49" s="56" t="str">
        <f t="shared" si="9"/>
        <v/>
      </c>
      <c r="BC49" s="3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</row>
    <row r="50" ht="15.75" customHeight="1">
      <c r="A50" s="17">
        <v>16.0</v>
      </c>
      <c r="B50" s="1"/>
      <c r="I50" s="1"/>
      <c r="K50" s="1" t="b">
        <v>0</v>
      </c>
      <c r="L50" s="1" t="b">
        <v>0</v>
      </c>
      <c r="M50" s="1" t="b">
        <v>0</v>
      </c>
      <c r="N50" s="1" t="b">
        <v>0</v>
      </c>
      <c r="O50" s="1" t="b">
        <v>0</v>
      </c>
      <c r="P50" s="1" t="b">
        <v>0</v>
      </c>
      <c r="Q50" s="1" t="b">
        <v>0</v>
      </c>
      <c r="R50" s="1" t="b">
        <v>0</v>
      </c>
      <c r="S50" s="1" t="b">
        <v>0</v>
      </c>
      <c r="T50" s="1" t="b">
        <v>0</v>
      </c>
      <c r="U50" s="1" t="b">
        <v>0</v>
      </c>
      <c r="V50" s="1" t="b">
        <v>0</v>
      </c>
      <c r="W50" s="17" t="b">
        <v>0</v>
      </c>
      <c r="X50" s="1" t="b">
        <v>0</v>
      </c>
      <c r="Y50" s="1" t="b">
        <v>0</v>
      </c>
      <c r="Z50" s="1" t="b">
        <v>0</v>
      </c>
      <c r="AA50" s="1" t="b">
        <v>0</v>
      </c>
      <c r="AB50" s="1" t="b">
        <v>0</v>
      </c>
      <c r="AC50" s="1" t="b">
        <v>0</v>
      </c>
      <c r="AD50" s="1" t="b">
        <v>0</v>
      </c>
      <c r="AE50" s="1" t="b">
        <v>0</v>
      </c>
      <c r="AF50" s="1" t="b">
        <v>0</v>
      </c>
      <c r="AG50" s="1" t="b">
        <v>0</v>
      </c>
      <c r="AH50" s="1" t="b">
        <v>0</v>
      </c>
      <c r="AI50" s="17" t="b">
        <v>0</v>
      </c>
      <c r="AJ50" s="1" t="b">
        <v>0</v>
      </c>
      <c r="AK50" s="1" t="b">
        <v>0</v>
      </c>
      <c r="AL50" s="1" t="b">
        <v>0</v>
      </c>
      <c r="AM50" s="1" t="b">
        <v>0</v>
      </c>
      <c r="AN50" s="1" t="b">
        <v>0</v>
      </c>
      <c r="AO50" s="1" t="b">
        <v>0</v>
      </c>
      <c r="AP50" s="1"/>
      <c r="AQ50" s="1"/>
      <c r="AR50" s="51" t="str">
        <f t="shared" si="10"/>
        <v/>
      </c>
      <c r="AS50" s="52" t="str">
        <f t="shared" si="11"/>
        <v/>
      </c>
      <c r="AT50" s="1"/>
      <c r="AU50" s="54" t="str">
        <f>IFERROR(__xludf.DUMMYFUNCTION("IF(B52="""","""",SPARKLINE(#REF!,{""charttype"",""bar"";""max"",1;""color1"",""#fad5be""}))"),"")</f>
        <v/>
      </c>
      <c r="AV50" s="54"/>
      <c r="AW50" s="54"/>
      <c r="AX50" s="4"/>
      <c r="AY50" s="3"/>
      <c r="AZ50" s="3"/>
      <c r="BA50" s="3"/>
      <c r="BB50" s="56" t="str">
        <f t="shared" si="9"/>
        <v/>
      </c>
      <c r="BC50" s="3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</row>
    <row r="51" ht="15.75" customHeight="1">
      <c r="A51" s="17">
        <v>17.0</v>
      </c>
      <c r="B51" s="1"/>
      <c r="I51" s="1"/>
      <c r="K51" s="1" t="b">
        <v>0</v>
      </c>
      <c r="L51" s="1" t="b">
        <v>0</v>
      </c>
      <c r="M51" s="1" t="b">
        <v>0</v>
      </c>
      <c r="N51" s="1" t="b">
        <v>0</v>
      </c>
      <c r="O51" s="1" t="b">
        <v>0</v>
      </c>
      <c r="P51" s="1" t="b">
        <v>0</v>
      </c>
      <c r="Q51" s="1" t="b">
        <v>0</v>
      </c>
      <c r="R51" s="1" t="b">
        <v>0</v>
      </c>
      <c r="S51" s="1" t="b">
        <v>0</v>
      </c>
      <c r="T51" s="1" t="b">
        <v>0</v>
      </c>
      <c r="U51" s="1" t="b">
        <v>0</v>
      </c>
      <c r="V51" s="1" t="b">
        <v>0</v>
      </c>
      <c r="W51" s="1" t="b">
        <v>0</v>
      </c>
      <c r="X51" s="1" t="b">
        <v>0</v>
      </c>
      <c r="Y51" s="1" t="b">
        <v>0</v>
      </c>
      <c r="Z51" s="1" t="b">
        <v>0</v>
      </c>
      <c r="AA51" s="1" t="b">
        <v>0</v>
      </c>
      <c r="AB51" s="1" t="b">
        <v>0</v>
      </c>
      <c r="AC51" s="1" t="b">
        <v>0</v>
      </c>
      <c r="AD51" s="1" t="b">
        <v>0</v>
      </c>
      <c r="AE51" s="1" t="b">
        <v>0</v>
      </c>
      <c r="AF51" s="1" t="b">
        <v>0</v>
      </c>
      <c r="AG51" s="1" t="b">
        <v>0</v>
      </c>
      <c r="AH51" s="1" t="b">
        <v>0</v>
      </c>
      <c r="AI51" s="1" t="b">
        <v>0</v>
      </c>
      <c r="AJ51" s="1" t="b">
        <v>0</v>
      </c>
      <c r="AK51" s="1" t="b">
        <v>0</v>
      </c>
      <c r="AL51" s="1" t="b">
        <v>0</v>
      </c>
      <c r="AM51" s="1" t="b">
        <v>0</v>
      </c>
      <c r="AN51" s="1" t="b">
        <v>0</v>
      </c>
      <c r="AO51" s="1" t="b">
        <v>0</v>
      </c>
      <c r="AP51" s="1"/>
      <c r="AQ51" s="1"/>
      <c r="AR51" s="51" t="str">
        <f t="shared" si="10"/>
        <v/>
      </c>
      <c r="AS51" s="52" t="str">
        <f t="shared" si="11"/>
        <v/>
      </c>
      <c r="AT51" s="1"/>
      <c r="AU51" s="54" t="str">
        <f>IFERROR(__xludf.DUMMYFUNCTION("IF(B53="""","""",SPARKLINE(#REF!,{""charttype"",""bar"";""max"",1;""color1"",""#fad5be""}))"),"")</f>
        <v/>
      </c>
      <c r="AV51" s="54"/>
      <c r="AW51" s="54"/>
      <c r="AX51" s="4"/>
      <c r="AY51" s="3"/>
      <c r="AZ51" s="3"/>
      <c r="BA51" s="3"/>
      <c r="BB51" s="56" t="str">
        <f t="shared" si="9"/>
        <v/>
      </c>
      <c r="BC51" s="3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</row>
    <row r="52" ht="15.75" customHeight="1">
      <c r="A52" s="17">
        <v>18.0</v>
      </c>
      <c r="B52" s="1"/>
      <c r="I52" s="1"/>
      <c r="K52" s="1" t="b">
        <v>0</v>
      </c>
      <c r="L52" s="1" t="b">
        <v>0</v>
      </c>
      <c r="M52" s="1" t="b">
        <v>0</v>
      </c>
      <c r="N52" s="1" t="b">
        <v>0</v>
      </c>
      <c r="O52" s="1" t="b">
        <v>0</v>
      </c>
      <c r="P52" s="1" t="b">
        <v>0</v>
      </c>
      <c r="Q52" s="1" t="b">
        <v>0</v>
      </c>
      <c r="R52" s="1" t="b">
        <v>0</v>
      </c>
      <c r="S52" s="1" t="b">
        <v>0</v>
      </c>
      <c r="T52" s="1" t="b">
        <v>0</v>
      </c>
      <c r="U52" s="1" t="b">
        <v>0</v>
      </c>
      <c r="V52" s="1" t="b">
        <v>0</v>
      </c>
      <c r="W52" s="1" t="b">
        <v>0</v>
      </c>
      <c r="X52" s="1" t="b">
        <v>0</v>
      </c>
      <c r="Y52" s="1" t="b">
        <v>0</v>
      </c>
      <c r="Z52" s="1" t="b">
        <v>0</v>
      </c>
      <c r="AA52" s="1" t="b">
        <v>0</v>
      </c>
      <c r="AB52" s="1" t="b">
        <v>0</v>
      </c>
      <c r="AC52" s="1" t="b">
        <v>0</v>
      </c>
      <c r="AD52" s="1" t="b">
        <v>0</v>
      </c>
      <c r="AE52" s="1" t="b">
        <v>0</v>
      </c>
      <c r="AF52" s="1" t="b">
        <v>0</v>
      </c>
      <c r="AG52" s="1" t="b">
        <v>0</v>
      </c>
      <c r="AH52" s="1" t="b">
        <v>0</v>
      </c>
      <c r="AI52" s="1" t="b">
        <v>0</v>
      </c>
      <c r="AJ52" s="1" t="b">
        <v>0</v>
      </c>
      <c r="AK52" s="1" t="b">
        <v>0</v>
      </c>
      <c r="AL52" s="1" t="b">
        <v>0</v>
      </c>
      <c r="AM52" s="1" t="b">
        <v>0</v>
      </c>
      <c r="AN52" s="1" t="b">
        <v>0</v>
      </c>
      <c r="AO52" s="1" t="b">
        <v>0</v>
      </c>
      <c r="AP52" s="1"/>
      <c r="AQ52" s="1"/>
      <c r="AR52" s="51" t="str">
        <f t="shared" si="10"/>
        <v/>
      </c>
      <c r="AS52" s="52" t="str">
        <f t="shared" si="11"/>
        <v/>
      </c>
      <c r="AT52" s="1"/>
      <c r="AU52" s="54" t="str">
        <f>IFERROR(__xludf.DUMMYFUNCTION("IF(B54="""","""",SPARKLINE(#REF!,{""charttype"",""bar"";""max"",1;""color1"",""#fad5be""}))"),"")</f>
        <v/>
      </c>
      <c r="AV52" s="54"/>
      <c r="AW52" s="54"/>
      <c r="AX52" s="4"/>
      <c r="AY52" s="3"/>
      <c r="AZ52" s="3"/>
      <c r="BA52" s="3"/>
      <c r="BB52" s="56" t="str">
        <f t="shared" si="9"/>
        <v/>
      </c>
      <c r="BC52" s="3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</row>
    <row r="53" ht="15.75" customHeight="1">
      <c r="A53" s="17">
        <v>19.0</v>
      </c>
      <c r="B53" s="1"/>
      <c r="I53" s="1"/>
      <c r="K53" s="1" t="b">
        <v>0</v>
      </c>
      <c r="L53" s="1" t="b">
        <v>0</v>
      </c>
      <c r="M53" s="1" t="b">
        <v>0</v>
      </c>
      <c r="N53" s="1" t="b">
        <v>0</v>
      </c>
      <c r="O53" s="1" t="b">
        <v>0</v>
      </c>
      <c r="P53" s="1" t="b">
        <v>0</v>
      </c>
      <c r="Q53" s="1" t="b">
        <v>0</v>
      </c>
      <c r="R53" s="1" t="b">
        <v>0</v>
      </c>
      <c r="S53" s="1" t="b">
        <v>0</v>
      </c>
      <c r="T53" s="1" t="b">
        <v>0</v>
      </c>
      <c r="U53" s="1" t="b">
        <v>0</v>
      </c>
      <c r="V53" s="1" t="b">
        <v>0</v>
      </c>
      <c r="W53" s="1" t="b">
        <v>0</v>
      </c>
      <c r="X53" s="1" t="b">
        <v>0</v>
      </c>
      <c r="Y53" s="1" t="b">
        <v>0</v>
      </c>
      <c r="Z53" s="1" t="b">
        <v>0</v>
      </c>
      <c r="AA53" s="1" t="b">
        <v>0</v>
      </c>
      <c r="AB53" s="1" t="b">
        <v>0</v>
      </c>
      <c r="AC53" s="1" t="b">
        <v>0</v>
      </c>
      <c r="AD53" s="1" t="b">
        <v>0</v>
      </c>
      <c r="AE53" s="1" t="b">
        <v>0</v>
      </c>
      <c r="AF53" s="1" t="b">
        <v>0</v>
      </c>
      <c r="AG53" s="1" t="b">
        <v>0</v>
      </c>
      <c r="AH53" s="1" t="b">
        <v>0</v>
      </c>
      <c r="AI53" s="1" t="b">
        <v>0</v>
      </c>
      <c r="AJ53" s="1" t="b">
        <v>0</v>
      </c>
      <c r="AK53" s="1" t="b">
        <v>0</v>
      </c>
      <c r="AL53" s="1" t="b">
        <v>0</v>
      </c>
      <c r="AM53" s="1" t="b">
        <v>0</v>
      </c>
      <c r="AN53" s="1" t="b">
        <v>0</v>
      </c>
      <c r="AO53" s="1" t="b">
        <v>0</v>
      </c>
      <c r="AP53" s="1"/>
      <c r="AQ53" s="1"/>
      <c r="AR53" s="51" t="str">
        <f t="shared" si="10"/>
        <v/>
      </c>
      <c r="AS53" s="52" t="str">
        <f t="shared" si="11"/>
        <v/>
      </c>
      <c r="AT53" s="1"/>
      <c r="AU53" s="54" t="str">
        <f>IFERROR(__xludf.DUMMYFUNCTION("IF(B55="""","""",SPARKLINE(#REF!,{""charttype"",""bar"";""max"",1;""color1"",""#fad5be""}))"),"")</f>
        <v/>
      </c>
      <c r="AV53" s="54"/>
      <c r="AW53" s="54"/>
      <c r="AX53" s="4"/>
      <c r="AY53" s="3"/>
      <c r="AZ53" s="3"/>
      <c r="BA53" s="3"/>
      <c r="BB53" s="56" t="str">
        <f t="shared" si="9"/>
        <v/>
      </c>
      <c r="BC53" s="3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</row>
    <row r="54" ht="15.75" customHeight="1">
      <c r="A54" s="17">
        <v>20.0</v>
      </c>
      <c r="B54" s="1"/>
      <c r="I54" s="1"/>
      <c r="K54" s="1" t="b">
        <v>0</v>
      </c>
      <c r="L54" s="1" t="b">
        <v>0</v>
      </c>
      <c r="M54" s="1" t="b">
        <v>0</v>
      </c>
      <c r="N54" s="1" t="b">
        <v>0</v>
      </c>
      <c r="O54" s="1" t="b">
        <v>0</v>
      </c>
      <c r="P54" s="1" t="b">
        <v>0</v>
      </c>
      <c r="Q54" s="1" t="b">
        <v>0</v>
      </c>
      <c r="R54" s="1" t="b">
        <v>0</v>
      </c>
      <c r="S54" s="1" t="b">
        <v>0</v>
      </c>
      <c r="T54" s="1" t="b">
        <v>0</v>
      </c>
      <c r="U54" s="1" t="b">
        <v>0</v>
      </c>
      <c r="V54" s="1" t="b">
        <v>0</v>
      </c>
      <c r="W54" s="1" t="b">
        <v>0</v>
      </c>
      <c r="X54" s="1" t="b">
        <v>0</v>
      </c>
      <c r="Y54" s="1" t="b">
        <v>0</v>
      </c>
      <c r="Z54" s="1" t="b">
        <v>0</v>
      </c>
      <c r="AA54" s="1" t="b">
        <v>0</v>
      </c>
      <c r="AB54" s="1" t="b">
        <v>0</v>
      </c>
      <c r="AC54" s="1" t="b">
        <v>0</v>
      </c>
      <c r="AD54" s="1" t="b">
        <v>0</v>
      </c>
      <c r="AE54" s="1" t="b">
        <v>0</v>
      </c>
      <c r="AF54" s="1" t="b">
        <v>0</v>
      </c>
      <c r="AG54" s="1" t="b">
        <v>0</v>
      </c>
      <c r="AH54" s="1" t="b">
        <v>0</v>
      </c>
      <c r="AI54" s="1" t="b">
        <v>0</v>
      </c>
      <c r="AJ54" s="1" t="b">
        <v>0</v>
      </c>
      <c r="AK54" s="17" t="b">
        <v>0</v>
      </c>
      <c r="AL54" s="1" t="b">
        <v>0</v>
      </c>
      <c r="AM54" s="1" t="b">
        <v>0</v>
      </c>
      <c r="AN54" s="1" t="b">
        <v>0</v>
      </c>
      <c r="AO54" s="1" t="b">
        <v>0</v>
      </c>
      <c r="AP54" s="1"/>
      <c r="AQ54" s="1"/>
      <c r="AR54" s="51" t="str">
        <f t="shared" si="10"/>
        <v/>
      </c>
      <c r="AS54" s="52" t="str">
        <f t="shared" si="11"/>
        <v/>
      </c>
      <c r="AT54" s="1"/>
      <c r="AU54" s="54" t="str">
        <f>IFERROR(__xludf.DUMMYFUNCTION("IF(B56="""","""",SPARKLINE(#REF!,{""charttype"",""bar"";""max"",1;""color1"",""#fad5be""}))"),"")</f>
        <v/>
      </c>
      <c r="AV54" s="54"/>
      <c r="AW54" s="54"/>
      <c r="AX54" s="4"/>
      <c r="AY54" s="3"/>
      <c r="AZ54" s="3"/>
      <c r="BA54" s="3"/>
      <c r="BB54" s="56" t="str">
        <f t="shared" si="9"/>
        <v/>
      </c>
      <c r="BC54" s="3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</row>
    <row r="55" ht="15.75" customHeight="1">
      <c r="A55" s="17">
        <v>21.0</v>
      </c>
      <c r="B55" s="1"/>
      <c r="I55" s="1"/>
      <c r="K55" s="1" t="b">
        <v>0</v>
      </c>
      <c r="L55" s="1" t="b">
        <v>0</v>
      </c>
      <c r="M55" s="1" t="b">
        <v>0</v>
      </c>
      <c r="N55" s="1" t="b">
        <v>0</v>
      </c>
      <c r="O55" s="1" t="b">
        <v>0</v>
      </c>
      <c r="P55" s="1" t="b">
        <v>0</v>
      </c>
      <c r="Q55" s="1" t="b">
        <v>0</v>
      </c>
      <c r="R55" s="1" t="b">
        <v>0</v>
      </c>
      <c r="S55" s="1" t="b">
        <v>0</v>
      </c>
      <c r="T55" s="1" t="b">
        <v>0</v>
      </c>
      <c r="U55" s="1" t="b">
        <v>0</v>
      </c>
      <c r="V55" s="1" t="b">
        <v>0</v>
      </c>
      <c r="W55" s="1" t="b">
        <v>0</v>
      </c>
      <c r="X55" s="1" t="b">
        <v>0</v>
      </c>
      <c r="Y55" s="1" t="b">
        <v>0</v>
      </c>
      <c r="Z55" s="1" t="b">
        <v>0</v>
      </c>
      <c r="AA55" s="1" t="b">
        <v>0</v>
      </c>
      <c r="AB55" s="1" t="b">
        <v>0</v>
      </c>
      <c r="AC55" s="1" t="b">
        <v>0</v>
      </c>
      <c r="AD55" s="1" t="b">
        <v>0</v>
      </c>
      <c r="AE55" s="1" t="b">
        <v>0</v>
      </c>
      <c r="AF55" s="1" t="b">
        <v>0</v>
      </c>
      <c r="AG55" s="1" t="b">
        <v>0</v>
      </c>
      <c r="AH55" s="1" t="b">
        <v>0</v>
      </c>
      <c r="AI55" s="1" t="b">
        <v>0</v>
      </c>
      <c r="AJ55" s="1" t="b">
        <v>0</v>
      </c>
      <c r="AK55" s="1" t="b">
        <v>0</v>
      </c>
      <c r="AL55" s="1" t="b">
        <v>0</v>
      </c>
      <c r="AM55" s="1" t="b">
        <v>0</v>
      </c>
      <c r="AN55" s="1" t="b">
        <v>0</v>
      </c>
      <c r="AO55" s="1" t="b">
        <v>0</v>
      </c>
      <c r="AP55" s="1"/>
      <c r="AQ55" s="1"/>
      <c r="AR55" s="51" t="str">
        <f t="shared" si="10"/>
        <v/>
      </c>
      <c r="AS55" s="52" t="str">
        <f t="shared" si="11"/>
        <v/>
      </c>
      <c r="AT55" s="1"/>
      <c r="AU55" s="54" t="str">
        <f>IFERROR(__xludf.DUMMYFUNCTION("IF(B57="""","""",SPARKLINE(#REF!,{""charttype"",""bar"";""max"",1;""color1"",""#fad5be""}))"),"")</f>
        <v/>
      </c>
      <c r="AV55" s="54"/>
      <c r="AW55" s="54"/>
      <c r="AX55" s="4"/>
      <c r="AY55" s="3"/>
      <c r="AZ55" s="3"/>
      <c r="BA55" s="3"/>
      <c r="BB55" s="56" t="str">
        <f t="shared" si="9"/>
        <v/>
      </c>
      <c r="BC55" s="3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</row>
    <row r="56" ht="15.75" customHeight="1">
      <c r="A56" s="17">
        <v>22.0</v>
      </c>
      <c r="B56" s="1"/>
      <c r="I56" s="1"/>
      <c r="K56" s="1" t="b">
        <v>0</v>
      </c>
      <c r="L56" s="1" t="b">
        <v>0</v>
      </c>
      <c r="M56" s="1" t="b">
        <v>0</v>
      </c>
      <c r="N56" s="1" t="b">
        <v>0</v>
      </c>
      <c r="O56" s="1" t="b">
        <v>0</v>
      </c>
      <c r="P56" s="1" t="b">
        <v>0</v>
      </c>
      <c r="Q56" s="1" t="b">
        <v>0</v>
      </c>
      <c r="R56" s="1" t="b">
        <v>0</v>
      </c>
      <c r="S56" s="1" t="b">
        <v>0</v>
      </c>
      <c r="T56" s="1" t="b">
        <v>0</v>
      </c>
      <c r="U56" s="1" t="b">
        <v>0</v>
      </c>
      <c r="V56" s="1" t="b">
        <v>0</v>
      </c>
      <c r="W56" s="1" t="b">
        <v>0</v>
      </c>
      <c r="X56" s="1" t="b">
        <v>0</v>
      </c>
      <c r="Y56" s="1" t="b">
        <v>0</v>
      </c>
      <c r="Z56" s="1" t="b">
        <v>0</v>
      </c>
      <c r="AA56" s="1" t="b">
        <v>0</v>
      </c>
      <c r="AB56" s="1" t="b">
        <v>0</v>
      </c>
      <c r="AC56" s="1" t="b">
        <v>0</v>
      </c>
      <c r="AD56" s="1" t="b">
        <v>0</v>
      </c>
      <c r="AE56" s="1" t="b">
        <v>0</v>
      </c>
      <c r="AF56" s="1" t="b">
        <v>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b">
        <v>0</v>
      </c>
      <c r="AL56" s="1" t="b">
        <v>0</v>
      </c>
      <c r="AM56" s="1" t="b">
        <v>0</v>
      </c>
      <c r="AN56" s="1" t="b">
        <v>0</v>
      </c>
      <c r="AO56" s="1" t="b">
        <v>0</v>
      </c>
      <c r="AP56" s="1"/>
      <c r="AQ56" s="1"/>
      <c r="AR56" s="51" t="str">
        <f t="shared" si="10"/>
        <v/>
      </c>
      <c r="AS56" s="52" t="str">
        <f t="shared" si="11"/>
        <v/>
      </c>
      <c r="AT56" s="1"/>
      <c r="AU56" s="54" t="str">
        <f>IFERROR(__xludf.DUMMYFUNCTION("IF(B58="""","""",SPARKLINE(#REF!,{""charttype"",""bar"";""max"",1;""color1"",""#fad5be""}))"),"")</f>
        <v/>
      </c>
      <c r="AV56" s="54"/>
      <c r="AW56" s="54"/>
      <c r="AX56" s="4"/>
      <c r="AY56" s="3"/>
      <c r="AZ56" s="3"/>
      <c r="BA56" s="3"/>
      <c r="BB56" s="56" t="str">
        <f t="shared" si="9"/>
        <v/>
      </c>
      <c r="BC56" s="3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</row>
    <row r="57" ht="15.75" customHeight="1">
      <c r="A57" s="17">
        <v>23.0</v>
      </c>
      <c r="B57" s="1"/>
      <c r="I57" s="1"/>
      <c r="K57" s="1" t="b">
        <v>0</v>
      </c>
      <c r="L57" s="1" t="b">
        <v>0</v>
      </c>
      <c r="M57" s="1" t="b">
        <v>0</v>
      </c>
      <c r="N57" s="1" t="b">
        <v>0</v>
      </c>
      <c r="O57" s="1" t="b">
        <v>0</v>
      </c>
      <c r="P57" s="1" t="b">
        <v>0</v>
      </c>
      <c r="Q57" s="1" t="b">
        <v>0</v>
      </c>
      <c r="R57" s="1" t="b">
        <v>0</v>
      </c>
      <c r="S57" s="1" t="b">
        <v>0</v>
      </c>
      <c r="T57" s="1" t="b">
        <v>0</v>
      </c>
      <c r="U57" s="1" t="b">
        <v>0</v>
      </c>
      <c r="V57" s="1" t="b">
        <v>0</v>
      </c>
      <c r="W57" s="1" t="b">
        <v>0</v>
      </c>
      <c r="X57" s="1" t="b">
        <v>0</v>
      </c>
      <c r="Y57" s="1" t="b">
        <v>0</v>
      </c>
      <c r="Z57" s="1" t="b">
        <v>0</v>
      </c>
      <c r="AA57" s="1" t="b">
        <v>0</v>
      </c>
      <c r="AB57" s="1" t="b">
        <v>0</v>
      </c>
      <c r="AC57" s="1" t="b">
        <v>0</v>
      </c>
      <c r="AD57" s="1" t="b">
        <v>0</v>
      </c>
      <c r="AE57" s="1" t="b">
        <v>0</v>
      </c>
      <c r="AF57" s="1" t="b">
        <v>0</v>
      </c>
      <c r="AG57" s="1" t="b">
        <v>0</v>
      </c>
      <c r="AH57" s="1" t="b">
        <v>0</v>
      </c>
      <c r="AI57" s="1" t="b">
        <v>0</v>
      </c>
      <c r="AJ57" s="1" t="b">
        <v>0</v>
      </c>
      <c r="AK57" s="1" t="b">
        <v>0</v>
      </c>
      <c r="AL57" s="1" t="b">
        <v>0</v>
      </c>
      <c r="AM57" s="1" t="b">
        <v>0</v>
      </c>
      <c r="AN57" s="1" t="b">
        <v>0</v>
      </c>
      <c r="AO57" s="1" t="b">
        <v>0</v>
      </c>
      <c r="AP57" s="1"/>
      <c r="AQ57" s="1"/>
      <c r="AR57" s="51" t="str">
        <f t="shared" si="10"/>
        <v/>
      </c>
      <c r="AS57" s="52" t="str">
        <f t="shared" si="11"/>
        <v/>
      </c>
      <c r="AT57" s="1"/>
      <c r="AU57" s="54" t="str">
        <f>IFERROR(__xludf.DUMMYFUNCTION("IF(B59="""","""",SPARKLINE(#REF!,{""charttype"",""bar"";""max"",1;""color1"",""#fad5be""}))"),"")</f>
        <v/>
      </c>
      <c r="AV57" s="54"/>
      <c r="AW57" s="54"/>
      <c r="AX57" s="4"/>
      <c r="AY57" s="3"/>
      <c r="AZ57" s="3"/>
      <c r="BA57" s="3"/>
      <c r="BB57" s="56" t="str">
        <f t="shared" si="9"/>
        <v/>
      </c>
      <c r="BC57" s="3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</row>
    <row r="58" ht="15.75" customHeight="1">
      <c r="A58" s="17">
        <v>24.0</v>
      </c>
      <c r="B58" s="1"/>
      <c r="I58" s="1"/>
      <c r="K58" s="1" t="b">
        <v>0</v>
      </c>
      <c r="L58" s="1" t="b">
        <v>0</v>
      </c>
      <c r="M58" s="1" t="b">
        <v>0</v>
      </c>
      <c r="N58" s="1" t="b">
        <v>0</v>
      </c>
      <c r="O58" s="1" t="b">
        <v>0</v>
      </c>
      <c r="P58" s="1" t="b">
        <v>0</v>
      </c>
      <c r="Q58" s="1" t="b">
        <v>0</v>
      </c>
      <c r="R58" s="1" t="b">
        <v>0</v>
      </c>
      <c r="S58" s="1" t="b">
        <v>0</v>
      </c>
      <c r="T58" s="1" t="b">
        <v>0</v>
      </c>
      <c r="U58" s="1" t="b">
        <v>0</v>
      </c>
      <c r="V58" s="1" t="b">
        <v>0</v>
      </c>
      <c r="W58" s="1" t="b">
        <v>0</v>
      </c>
      <c r="X58" s="1" t="b">
        <v>0</v>
      </c>
      <c r="Y58" s="1" t="b">
        <v>0</v>
      </c>
      <c r="Z58" s="1" t="b">
        <v>0</v>
      </c>
      <c r="AA58" s="1" t="b">
        <v>0</v>
      </c>
      <c r="AB58" s="1" t="b">
        <v>0</v>
      </c>
      <c r="AC58" s="1" t="b">
        <v>0</v>
      </c>
      <c r="AD58" s="1" t="b">
        <v>0</v>
      </c>
      <c r="AE58" s="1" t="b">
        <v>0</v>
      </c>
      <c r="AF58" s="1" t="b">
        <v>0</v>
      </c>
      <c r="AG58" s="1" t="b">
        <v>0</v>
      </c>
      <c r="AH58" s="1" t="b">
        <v>0</v>
      </c>
      <c r="AI58" s="1" t="b">
        <v>0</v>
      </c>
      <c r="AJ58" s="1" t="b">
        <v>0</v>
      </c>
      <c r="AK58" s="1" t="b">
        <v>0</v>
      </c>
      <c r="AL58" s="1" t="b">
        <v>0</v>
      </c>
      <c r="AM58" s="1" t="b">
        <v>0</v>
      </c>
      <c r="AN58" s="1" t="b">
        <v>0</v>
      </c>
      <c r="AO58" s="1" t="b">
        <v>0</v>
      </c>
      <c r="AP58" s="1"/>
      <c r="AQ58" s="1"/>
      <c r="AR58" s="51" t="str">
        <f t="shared" si="10"/>
        <v/>
      </c>
      <c r="AS58" s="52" t="str">
        <f t="shared" si="11"/>
        <v/>
      </c>
      <c r="AT58" s="1"/>
      <c r="AU58" s="54" t="str">
        <f>IFERROR(__xludf.DUMMYFUNCTION("IF(B60="""","""",SPARKLINE(#REF!,{""charttype"",""bar"";""max"",1;""color1"",""#fad5be""}))"),"")</f>
        <v/>
      </c>
      <c r="AV58" s="54"/>
      <c r="AW58" s="54"/>
      <c r="AX58" s="4"/>
      <c r="AY58" s="3"/>
      <c r="AZ58" s="3"/>
      <c r="BA58" s="3"/>
      <c r="BB58" s="56" t="str">
        <f t="shared" si="9"/>
        <v/>
      </c>
      <c r="BC58" s="3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</row>
    <row r="59" ht="15.75" customHeight="1">
      <c r="A59" s="17">
        <v>25.0</v>
      </c>
      <c r="B59" s="1"/>
      <c r="I59" s="1"/>
      <c r="K59" s="1" t="b">
        <v>0</v>
      </c>
      <c r="L59" s="1" t="b">
        <v>0</v>
      </c>
      <c r="M59" s="1" t="b">
        <v>0</v>
      </c>
      <c r="N59" s="1" t="b">
        <v>0</v>
      </c>
      <c r="O59" s="1" t="b">
        <v>0</v>
      </c>
      <c r="P59" s="1" t="b">
        <v>0</v>
      </c>
      <c r="Q59" s="1" t="b">
        <v>0</v>
      </c>
      <c r="R59" s="1" t="b">
        <v>0</v>
      </c>
      <c r="S59" s="1" t="b">
        <v>0</v>
      </c>
      <c r="T59" s="1" t="b">
        <v>0</v>
      </c>
      <c r="U59" s="1" t="b">
        <v>0</v>
      </c>
      <c r="V59" s="1" t="b">
        <v>0</v>
      </c>
      <c r="W59" s="1" t="b">
        <v>0</v>
      </c>
      <c r="X59" s="1" t="b">
        <v>0</v>
      </c>
      <c r="Y59" s="1" t="b">
        <v>0</v>
      </c>
      <c r="Z59" s="1" t="b">
        <v>0</v>
      </c>
      <c r="AA59" s="1" t="b">
        <v>0</v>
      </c>
      <c r="AB59" s="1" t="b">
        <v>0</v>
      </c>
      <c r="AC59" s="1" t="b">
        <v>0</v>
      </c>
      <c r="AD59" s="1" t="b">
        <v>0</v>
      </c>
      <c r="AE59" s="1" t="b">
        <v>0</v>
      </c>
      <c r="AF59" s="1" t="b">
        <v>0</v>
      </c>
      <c r="AG59" s="1" t="b">
        <v>0</v>
      </c>
      <c r="AH59" s="1" t="b">
        <v>0</v>
      </c>
      <c r="AI59" s="1" t="b">
        <v>0</v>
      </c>
      <c r="AJ59" s="1" t="b">
        <v>0</v>
      </c>
      <c r="AK59" s="1" t="b">
        <v>0</v>
      </c>
      <c r="AL59" s="1" t="b">
        <v>0</v>
      </c>
      <c r="AM59" s="1" t="b">
        <v>0</v>
      </c>
      <c r="AN59" s="1" t="b">
        <v>0</v>
      </c>
      <c r="AO59" s="17" t="b">
        <v>0</v>
      </c>
      <c r="AP59" s="1"/>
      <c r="AQ59" s="1"/>
      <c r="AR59" s="51" t="str">
        <f t="shared" si="10"/>
        <v/>
      </c>
      <c r="AS59" s="52" t="str">
        <f t="shared" si="11"/>
        <v/>
      </c>
      <c r="AT59" s="1"/>
      <c r="AU59" s="54" t="str">
        <f>IFERROR(__xludf.DUMMYFUNCTION("IF(B61="""","""",SPARKLINE(#REF!,{""charttype"",""bar"";""max"",1;""color1"",""#fad5be""}))"),"")</f>
        <v/>
      </c>
      <c r="AV59" s="54"/>
      <c r="AW59" s="54"/>
      <c r="AX59" s="4"/>
      <c r="AY59" s="3"/>
      <c r="AZ59" s="3"/>
      <c r="BA59" s="3"/>
      <c r="BB59" s="56" t="str">
        <f t="shared" si="9"/>
        <v/>
      </c>
      <c r="BC59" s="3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51" t="str">
        <f t="shared" si="10"/>
        <v/>
      </c>
      <c r="AS60" s="1"/>
      <c r="AT60" s="1"/>
      <c r="AU60" s="54" t="str">
        <f>IFERROR(__xludf.DUMMYFUNCTION("IF(B62="""","""",SPARKLINE(#REF!,{""charttype"",""bar"";""max"",1;""color1"",""#fad5be""}))"),"")</f>
        <v/>
      </c>
      <c r="AV60" s="54"/>
      <c r="AW60" s="54"/>
      <c r="AX60" s="4"/>
      <c r="AY60" s="3"/>
      <c r="AZ60" s="3"/>
      <c r="BA60" s="3"/>
      <c r="BB60" s="3"/>
      <c r="BC60" s="3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3"/>
      <c r="AY61" s="3"/>
      <c r="AZ61" s="3"/>
      <c r="BA61" s="3"/>
      <c r="BB61" s="3"/>
      <c r="BC61" s="3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3"/>
      <c r="AY62" s="3"/>
      <c r="AZ62" s="3"/>
      <c r="BA62" s="3"/>
      <c r="BB62" s="3"/>
      <c r="BC62" s="3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3"/>
      <c r="AY63" s="3"/>
      <c r="AZ63" s="3"/>
      <c r="BA63" s="3"/>
      <c r="BB63" s="3"/>
      <c r="BC63" s="3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3"/>
      <c r="AY64" s="3"/>
      <c r="AZ64" s="3"/>
      <c r="BA64" s="3"/>
      <c r="BB64" s="3"/>
      <c r="BC64" s="3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3"/>
      <c r="AY65" s="3"/>
      <c r="AZ65" s="3"/>
      <c r="BA65" s="3"/>
      <c r="BB65" s="3"/>
      <c r="BC65" s="3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3"/>
      <c r="AY66" s="3"/>
      <c r="AZ66" s="3"/>
      <c r="BA66" s="3"/>
      <c r="BB66" s="3"/>
      <c r="BC66" s="3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3"/>
      <c r="AY67" s="3"/>
      <c r="AZ67" s="3"/>
      <c r="BA67" s="3"/>
      <c r="BB67" s="3"/>
      <c r="BC67" s="3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3"/>
      <c r="AY68" s="3"/>
      <c r="AZ68" s="3"/>
      <c r="BA68" s="3"/>
      <c r="BB68" s="3"/>
      <c r="BC68" s="3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3"/>
      <c r="AY69" s="3"/>
      <c r="AZ69" s="3"/>
      <c r="BA69" s="3"/>
      <c r="BB69" s="3"/>
      <c r="BC69" s="3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3"/>
      <c r="AY70" s="3"/>
      <c r="AZ70" s="3"/>
      <c r="BA70" s="3"/>
      <c r="BB70" s="3"/>
      <c r="BC70" s="3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3"/>
      <c r="AY71" s="3"/>
      <c r="AZ71" s="3"/>
      <c r="BA71" s="3"/>
      <c r="BB71" s="3"/>
      <c r="BC71" s="3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3"/>
      <c r="AY72" s="3"/>
      <c r="AZ72" s="3"/>
      <c r="BA72" s="3"/>
      <c r="BB72" s="3"/>
      <c r="BC72" s="3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3"/>
      <c r="AY73" s="3"/>
      <c r="AZ73" s="3"/>
      <c r="BA73" s="3"/>
      <c r="BB73" s="3"/>
      <c r="BC73" s="3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3"/>
      <c r="AY74" s="3"/>
      <c r="AZ74" s="3"/>
      <c r="BA74" s="3"/>
      <c r="BB74" s="3"/>
      <c r="BC74" s="3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3"/>
      <c r="AY75" s="3"/>
      <c r="AZ75" s="3"/>
      <c r="BA75" s="3"/>
      <c r="BB75" s="3"/>
      <c r="BC75" s="3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3"/>
      <c r="AY76" s="3"/>
      <c r="AZ76" s="3"/>
      <c r="BA76" s="3"/>
      <c r="BB76" s="3"/>
      <c r="BC76" s="3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3"/>
      <c r="AY77" s="3"/>
      <c r="AZ77" s="3"/>
      <c r="BA77" s="3"/>
      <c r="BB77" s="3"/>
      <c r="BC77" s="3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3"/>
      <c r="AY78" s="3"/>
      <c r="AZ78" s="3"/>
      <c r="BA78" s="3"/>
      <c r="BB78" s="3"/>
      <c r="BC78" s="3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3"/>
      <c r="AY79" s="3"/>
      <c r="AZ79" s="3"/>
      <c r="BA79" s="3"/>
      <c r="BB79" s="3"/>
      <c r="BC79" s="3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3"/>
      <c r="AY80" s="3"/>
      <c r="AZ80" s="3"/>
      <c r="BA80" s="3"/>
      <c r="BB80" s="3"/>
      <c r="BC80" s="3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3"/>
      <c r="AY81" s="3"/>
      <c r="AZ81" s="3"/>
      <c r="BA81" s="3"/>
      <c r="BB81" s="3"/>
      <c r="BC81" s="3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3"/>
      <c r="AY82" s="3"/>
      <c r="AZ82" s="3"/>
      <c r="BA82" s="3"/>
      <c r="BB82" s="3"/>
      <c r="BC82" s="3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3"/>
      <c r="AY83" s="3"/>
      <c r="AZ83" s="3"/>
      <c r="BA83" s="3"/>
      <c r="BB83" s="3"/>
      <c r="BC83" s="3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3"/>
      <c r="AY84" s="3"/>
      <c r="AZ84" s="3"/>
      <c r="BA84" s="3"/>
      <c r="BB84" s="3"/>
      <c r="BC84" s="3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3"/>
      <c r="AY85" s="3"/>
      <c r="AZ85" s="3"/>
      <c r="BA85" s="3"/>
      <c r="BB85" s="3"/>
      <c r="BC85" s="3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3"/>
      <c r="AY86" s="3"/>
      <c r="AZ86" s="3"/>
      <c r="BA86" s="3"/>
      <c r="BB86" s="3"/>
      <c r="BC86" s="3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3"/>
      <c r="AY87" s="3"/>
      <c r="AZ87" s="3"/>
      <c r="BA87" s="3"/>
      <c r="BB87" s="3"/>
      <c r="BC87" s="3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3"/>
      <c r="AY88" s="3"/>
      <c r="AZ88" s="3"/>
      <c r="BA88" s="3"/>
      <c r="BB88" s="3"/>
      <c r="BC88" s="3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3"/>
      <c r="AY89" s="3"/>
      <c r="AZ89" s="3"/>
      <c r="BA89" s="3"/>
      <c r="BB89" s="3"/>
      <c r="BC89" s="3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3"/>
      <c r="AY90" s="3"/>
      <c r="AZ90" s="3"/>
      <c r="BA90" s="3"/>
      <c r="BB90" s="3"/>
      <c r="BC90" s="3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3"/>
      <c r="AY91" s="3"/>
      <c r="AZ91" s="3"/>
      <c r="BA91" s="3"/>
      <c r="BB91" s="3"/>
      <c r="BC91" s="3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3"/>
      <c r="AY92" s="3"/>
      <c r="AZ92" s="3"/>
      <c r="BA92" s="3"/>
      <c r="BB92" s="3"/>
      <c r="BC92" s="3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3"/>
      <c r="AY93" s="3"/>
      <c r="AZ93" s="3"/>
      <c r="BA93" s="3"/>
      <c r="BB93" s="3"/>
      <c r="BC93" s="3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3"/>
      <c r="AY94" s="3"/>
      <c r="AZ94" s="3"/>
      <c r="BA94" s="3"/>
      <c r="BB94" s="3"/>
      <c r="BC94" s="3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3"/>
      <c r="AY95" s="3"/>
      <c r="AZ95" s="3"/>
      <c r="BA95" s="3"/>
      <c r="BB95" s="3"/>
      <c r="BC95" s="3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3"/>
      <c r="AY96" s="3"/>
      <c r="AZ96" s="3"/>
      <c r="BA96" s="3"/>
      <c r="BB96" s="3"/>
      <c r="BC96" s="3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3"/>
      <c r="AY97" s="3"/>
      <c r="AZ97" s="3"/>
      <c r="BA97" s="3"/>
      <c r="BB97" s="3"/>
      <c r="BC97" s="3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3"/>
      <c r="AY98" s="3"/>
      <c r="AZ98" s="3"/>
      <c r="BA98" s="3"/>
      <c r="BB98" s="3"/>
      <c r="BC98" s="3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3"/>
      <c r="AY99" s="3"/>
      <c r="AZ99" s="3"/>
      <c r="BA99" s="3"/>
      <c r="BB99" s="3"/>
      <c r="BC99" s="3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3"/>
      <c r="AY100" s="3"/>
      <c r="AZ100" s="3"/>
      <c r="BA100" s="3"/>
      <c r="BB100" s="3"/>
      <c r="BC100" s="3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3"/>
      <c r="AY101" s="3"/>
      <c r="AZ101" s="3"/>
      <c r="BA101" s="3"/>
      <c r="BB101" s="3"/>
      <c r="BC101" s="3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3"/>
      <c r="AY102" s="3"/>
      <c r="AZ102" s="3"/>
      <c r="BA102" s="3"/>
      <c r="BB102" s="3"/>
      <c r="BC102" s="3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3"/>
      <c r="AY103" s="3"/>
      <c r="AZ103" s="3"/>
      <c r="BA103" s="3"/>
      <c r="BB103" s="3"/>
      <c r="BC103" s="3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3"/>
      <c r="AY104" s="3"/>
      <c r="AZ104" s="3"/>
      <c r="BA104" s="3"/>
      <c r="BB104" s="3"/>
      <c r="BC104" s="3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3"/>
      <c r="AY105" s="3"/>
      <c r="AZ105" s="3"/>
      <c r="BA105" s="3"/>
      <c r="BB105" s="3"/>
      <c r="BC105" s="3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3"/>
      <c r="AY106" s="3"/>
      <c r="AZ106" s="3"/>
      <c r="BA106" s="3"/>
      <c r="BB106" s="3"/>
      <c r="BC106" s="3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3"/>
      <c r="AY107" s="3"/>
      <c r="AZ107" s="3"/>
      <c r="BA107" s="3"/>
      <c r="BB107" s="3"/>
      <c r="BC107" s="3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3"/>
      <c r="AY108" s="3"/>
      <c r="AZ108" s="3"/>
      <c r="BA108" s="3"/>
      <c r="BB108" s="3"/>
      <c r="BC108" s="3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3"/>
      <c r="AY109" s="3"/>
      <c r="AZ109" s="3"/>
      <c r="BA109" s="3"/>
      <c r="BB109" s="3"/>
      <c r="BC109" s="3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3"/>
      <c r="AY110" s="3"/>
      <c r="AZ110" s="3"/>
      <c r="BA110" s="3"/>
      <c r="BB110" s="3"/>
      <c r="BC110" s="3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3"/>
      <c r="AY111" s="3"/>
      <c r="AZ111" s="3"/>
      <c r="BA111" s="3"/>
      <c r="BB111" s="3"/>
      <c r="BC111" s="3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3"/>
      <c r="AY112" s="3"/>
      <c r="AZ112" s="3"/>
      <c r="BA112" s="3"/>
      <c r="BB112" s="3"/>
      <c r="BC112" s="3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3"/>
      <c r="AY113" s="3"/>
      <c r="AZ113" s="3"/>
      <c r="BA113" s="3"/>
      <c r="BB113" s="3"/>
      <c r="BC113" s="3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3"/>
      <c r="AY114" s="3"/>
      <c r="AZ114" s="3"/>
      <c r="BA114" s="3"/>
      <c r="BB114" s="3"/>
      <c r="BC114" s="3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3"/>
      <c r="AY115" s="3"/>
      <c r="AZ115" s="3"/>
      <c r="BA115" s="3"/>
      <c r="BB115" s="3"/>
      <c r="BC115" s="3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3"/>
      <c r="AY116" s="3"/>
      <c r="AZ116" s="3"/>
      <c r="BA116" s="3"/>
      <c r="BB116" s="3"/>
      <c r="BC116" s="3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3"/>
      <c r="AY117" s="3"/>
      <c r="AZ117" s="3"/>
      <c r="BA117" s="3"/>
      <c r="BB117" s="3"/>
      <c r="BC117" s="3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3"/>
      <c r="AY118" s="3"/>
      <c r="AZ118" s="3"/>
      <c r="BA118" s="3"/>
      <c r="BB118" s="3"/>
      <c r="BC118" s="3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3"/>
      <c r="AY119" s="3"/>
      <c r="AZ119" s="3"/>
      <c r="BA119" s="3"/>
      <c r="BB119" s="3"/>
      <c r="BC119" s="3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3"/>
      <c r="AY120" s="3"/>
      <c r="AZ120" s="3"/>
      <c r="BA120" s="3"/>
      <c r="BB120" s="3"/>
      <c r="BC120" s="3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3"/>
      <c r="AY121" s="3"/>
      <c r="AZ121" s="3"/>
      <c r="BA121" s="3"/>
      <c r="BB121" s="3"/>
      <c r="BC121" s="3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3"/>
      <c r="AY122" s="3"/>
      <c r="AZ122" s="3"/>
      <c r="BA122" s="3"/>
      <c r="BB122" s="3"/>
      <c r="BC122" s="3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3"/>
      <c r="AY123" s="3"/>
      <c r="AZ123" s="3"/>
      <c r="BA123" s="3"/>
      <c r="BB123" s="3"/>
      <c r="BC123" s="3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3"/>
      <c r="AY124" s="3"/>
      <c r="AZ124" s="3"/>
      <c r="BA124" s="3"/>
      <c r="BB124" s="3"/>
      <c r="BC124" s="3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3"/>
      <c r="AY125" s="3"/>
      <c r="AZ125" s="3"/>
      <c r="BA125" s="3"/>
      <c r="BB125" s="3"/>
      <c r="BC125" s="3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3"/>
      <c r="AY126" s="3"/>
      <c r="AZ126" s="3"/>
      <c r="BA126" s="3"/>
      <c r="BB126" s="3"/>
      <c r="BC126" s="3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3"/>
      <c r="AY127" s="3"/>
      <c r="AZ127" s="3"/>
      <c r="BA127" s="3"/>
      <c r="BB127" s="3"/>
      <c r="BC127" s="3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3"/>
      <c r="AY128" s="3"/>
      <c r="AZ128" s="3"/>
      <c r="BA128" s="3"/>
      <c r="BB128" s="3"/>
      <c r="BC128" s="3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3"/>
      <c r="AY129" s="3"/>
      <c r="AZ129" s="3"/>
      <c r="BA129" s="3"/>
      <c r="BB129" s="3"/>
      <c r="BC129" s="3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3"/>
      <c r="AY130" s="3"/>
      <c r="AZ130" s="3"/>
      <c r="BA130" s="3"/>
      <c r="BB130" s="3"/>
      <c r="BC130" s="3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3"/>
      <c r="AY131" s="3"/>
      <c r="AZ131" s="3"/>
      <c r="BA131" s="3"/>
      <c r="BB131" s="3"/>
      <c r="BC131" s="3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3"/>
      <c r="AY132" s="3"/>
      <c r="AZ132" s="3"/>
      <c r="BA132" s="3"/>
      <c r="BB132" s="3"/>
      <c r="BC132" s="3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3"/>
      <c r="AY133" s="3"/>
      <c r="AZ133" s="3"/>
      <c r="BA133" s="3"/>
      <c r="BB133" s="3"/>
      <c r="BC133" s="3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3"/>
      <c r="AY134" s="3"/>
      <c r="AZ134" s="3"/>
      <c r="BA134" s="3"/>
      <c r="BB134" s="3"/>
      <c r="BC134" s="3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3"/>
      <c r="AY135" s="3"/>
      <c r="AZ135" s="3"/>
      <c r="BA135" s="3"/>
      <c r="BB135" s="3"/>
      <c r="BC135" s="3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3"/>
      <c r="AY136" s="3"/>
      <c r="AZ136" s="3"/>
      <c r="BA136" s="3"/>
      <c r="BB136" s="3"/>
      <c r="BC136" s="3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3"/>
      <c r="AY137" s="3"/>
      <c r="AZ137" s="3"/>
      <c r="BA137" s="3"/>
      <c r="BB137" s="3"/>
      <c r="BC137" s="3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3"/>
      <c r="AY138" s="3"/>
      <c r="AZ138" s="3"/>
      <c r="BA138" s="3"/>
      <c r="BB138" s="3"/>
      <c r="BC138" s="3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3"/>
      <c r="AY139" s="3"/>
      <c r="AZ139" s="3"/>
      <c r="BA139" s="3"/>
      <c r="BB139" s="3"/>
      <c r="BC139" s="3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3"/>
      <c r="AY140" s="3"/>
      <c r="AZ140" s="3"/>
      <c r="BA140" s="3"/>
      <c r="BB140" s="3"/>
      <c r="BC140" s="3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3"/>
      <c r="AY141" s="3"/>
      <c r="AZ141" s="3"/>
      <c r="BA141" s="3"/>
      <c r="BB141" s="3"/>
      <c r="BC141" s="3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3"/>
      <c r="AY142" s="3"/>
      <c r="AZ142" s="3"/>
      <c r="BA142" s="3"/>
      <c r="BB142" s="3"/>
      <c r="BC142" s="3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3"/>
      <c r="AY143" s="3"/>
      <c r="AZ143" s="3"/>
      <c r="BA143" s="3"/>
      <c r="BB143" s="3"/>
      <c r="BC143" s="3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3"/>
      <c r="AY144" s="3"/>
      <c r="AZ144" s="3"/>
      <c r="BA144" s="3"/>
      <c r="BB144" s="3"/>
      <c r="BC144" s="3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3"/>
      <c r="AY145" s="3"/>
      <c r="AZ145" s="3"/>
      <c r="BA145" s="3"/>
      <c r="BB145" s="3"/>
      <c r="BC145" s="3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3"/>
      <c r="AY146" s="3"/>
      <c r="AZ146" s="3"/>
      <c r="BA146" s="3"/>
      <c r="BB146" s="3"/>
      <c r="BC146" s="3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3"/>
      <c r="AY147" s="3"/>
      <c r="AZ147" s="3"/>
      <c r="BA147" s="3"/>
      <c r="BB147" s="3"/>
      <c r="BC147" s="3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3"/>
      <c r="AY148" s="3"/>
      <c r="AZ148" s="3"/>
      <c r="BA148" s="3"/>
      <c r="BB148" s="3"/>
      <c r="BC148" s="3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3"/>
      <c r="AY149" s="3"/>
      <c r="AZ149" s="3"/>
      <c r="BA149" s="3"/>
      <c r="BB149" s="3"/>
      <c r="BC149" s="3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3"/>
      <c r="AY150" s="3"/>
      <c r="AZ150" s="3"/>
      <c r="BA150" s="3"/>
      <c r="BB150" s="3"/>
      <c r="BC150" s="3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3"/>
      <c r="AY151" s="3"/>
      <c r="AZ151" s="3"/>
      <c r="BA151" s="3"/>
      <c r="BB151" s="3"/>
      <c r="BC151" s="3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3"/>
      <c r="AY152" s="3"/>
      <c r="AZ152" s="3"/>
      <c r="BA152" s="3"/>
      <c r="BB152" s="3"/>
      <c r="BC152" s="3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3"/>
      <c r="AY153" s="3"/>
      <c r="AZ153" s="3"/>
      <c r="BA153" s="3"/>
      <c r="BB153" s="3"/>
      <c r="BC153" s="3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3"/>
      <c r="AY154" s="3"/>
      <c r="AZ154" s="3"/>
      <c r="BA154" s="3"/>
      <c r="BB154" s="3"/>
      <c r="BC154" s="3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3"/>
      <c r="AY155" s="3"/>
      <c r="AZ155" s="3"/>
      <c r="BA155" s="3"/>
      <c r="BB155" s="3"/>
      <c r="BC155" s="3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3"/>
      <c r="AY156" s="3"/>
      <c r="AZ156" s="3"/>
      <c r="BA156" s="3"/>
      <c r="BB156" s="3"/>
      <c r="BC156" s="3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3"/>
      <c r="AY157" s="3"/>
      <c r="AZ157" s="3"/>
      <c r="BA157" s="3"/>
      <c r="BB157" s="3"/>
      <c r="BC157" s="3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3"/>
      <c r="AY158" s="3"/>
      <c r="AZ158" s="3"/>
      <c r="BA158" s="3"/>
      <c r="BB158" s="3"/>
      <c r="BC158" s="3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3"/>
      <c r="AY159" s="3"/>
      <c r="AZ159" s="3"/>
      <c r="BA159" s="3"/>
      <c r="BB159" s="3"/>
      <c r="BC159" s="3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3"/>
      <c r="AY160" s="3"/>
      <c r="AZ160" s="3"/>
      <c r="BA160" s="3"/>
      <c r="BB160" s="3"/>
      <c r="BC160" s="3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3"/>
      <c r="AY161" s="3"/>
      <c r="AZ161" s="3"/>
      <c r="BA161" s="3"/>
      <c r="BB161" s="3"/>
      <c r="BC161" s="3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3"/>
      <c r="AY162" s="3"/>
      <c r="AZ162" s="3"/>
      <c r="BA162" s="3"/>
      <c r="BB162" s="3"/>
      <c r="BC162" s="3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3"/>
      <c r="AY163" s="3"/>
      <c r="AZ163" s="3"/>
      <c r="BA163" s="3"/>
      <c r="BB163" s="3"/>
      <c r="BC163" s="3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3"/>
      <c r="AY164" s="3"/>
      <c r="AZ164" s="3"/>
      <c r="BA164" s="3"/>
      <c r="BB164" s="3"/>
      <c r="BC164" s="3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3"/>
      <c r="AY165" s="3"/>
      <c r="AZ165" s="3"/>
      <c r="BA165" s="3"/>
      <c r="BB165" s="3"/>
      <c r="BC165" s="3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3"/>
      <c r="AY166" s="3"/>
      <c r="AZ166" s="3"/>
      <c r="BA166" s="3"/>
      <c r="BB166" s="3"/>
      <c r="BC166" s="3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3"/>
      <c r="AY167" s="3"/>
      <c r="AZ167" s="3"/>
      <c r="BA167" s="3"/>
      <c r="BB167" s="3"/>
      <c r="BC167" s="3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3"/>
      <c r="AY168" s="3"/>
      <c r="AZ168" s="3"/>
      <c r="BA168" s="3"/>
      <c r="BB168" s="3"/>
      <c r="BC168" s="3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3"/>
      <c r="AY169" s="3"/>
      <c r="AZ169" s="3"/>
      <c r="BA169" s="3"/>
      <c r="BB169" s="3"/>
      <c r="BC169" s="3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3"/>
      <c r="AY170" s="3"/>
      <c r="AZ170" s="3"/>
      <c r="BA170" s="3"/>
      <c r="BB170" s="3"/>
      <c r="BC170" s="3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3"/>
      <c r="AY171" s="3"/>
      <c r="AZ171" s="3"/>
      <c r="BA171" s="3"/>
      <c r="BB171" s="3"/>
      <c r="BC171" s="3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3"/>
      <c r="AY172" s="3"/>
      <c r="AZ172" s="3"/>
      <c r="BA172" s="3"/>
      <c r="BB172" s="3"/>
      <c r="BC172" s="3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3"/>
      <c r="AY173" s="3"/>
      <c r="AZ173" s="3"/>
      <c r="BA173" s="3"/>
      <c r="BB173" s="3"/>
      <c r="BC173" s="3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3"/>
      <c r="AY174" s="3"/>
      <c r="AZ174" s="3"/>
      <c r="BA174" s="3"/>
      <c r="BB174" s="3"/>
      <c r="BC174" s="3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3"/>
      <c r="AY175" s="3"/>
      <c r="AZ175" s="3"/>
      <c r="BA175" s="3"/>
      <c r="BB175" s="3"/>
      <c r="BC175" s="3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3"/>
      <c r="AY176" s="3"/>
      <c r="AZ176" s="3"/>
      <c r="BA176" s="3"/>
      <c r="BB176" s="3"/>
      <c r="BC176" s="3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3"/>
      <c r="AY177" s="3"/>
      <c r="AZ177" s="3"/>
      <c r="BA177" s="3"/>
      <c r="BB177" s="3"/>
      <c r="BC177" s="3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3"/>
      <c r="AY178" s="3"/>
      <c r="AZ178" s="3"/>
      <c r="BA178" s="3"/>
      <c r="BB178" s="3"/>
      <c r="BC178" s="3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3"/>
      <c r="AY179" s="3"/>
      <c r="AZ179" s="3"/>
      <c r="BA179" s="3"/>
      <c r="BB179" s="3"/>
      <c r="BC179" s="3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3"/>
      <c r="AY180" s="3"/>
      <c r="AZ180" s="3"/>
      <c r="BA180" s="3"/>
      <c r="BB180" s="3"/>
      <c r="BC180" s="3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3"/>
      <c r="AY181" s="3"/>
      <c r="AZ181" s="3"/>
      <c r="BA181" s="3"/>
      <c r="BB181" s="3"/>
      <c r="BC181" s="3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3"/>
      <c r="AY182" s="3"/>
      <c r="AZ182" s="3"/>
      <c r="BA182" s="3"/>
      <c r="BB182" s="3"/>
      <c r="BC182" s="3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3"/>
      <c r="AY183" s="3"/>
      <c r="AZ183" s="3"/>
      <c r="BA183" s="3"/>
      <c r="BB183" s="3"/>
      <c r="BC183" s="3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3"/>
      <c r="AY184" s="3"/>
      <c r="AZ184" s="3"/>
      <c r="BA184" s="3"/>
      <c r="BB184" s="3"/>
      <c r="BC184" s="3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3"/>
      <c r="AY185" s="3"/>
      <c r="AZ185" s="3"/>
      <c r="BA185" s="3"/>
      <c r="BB185" s="3"/>
      <c r="BC185" s="3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3"/>
      <c r="AY186" s="3"/>
      <c r="AZ186" s="3"/>
      <c r="BA186" s="3"/>
      <c r="BB186" s="3"/>
      <c r="BC186" s="3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3"/>
      <c r="AY187" s="3"/>
      <c r="AZ187" s="3"/>
      <c r="BA187" s="3"/>
      <c r="BB187" s="3"/>
      <c r="BC187" s="3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3"/>
      <c r="AY188" s="3"/>
      <c r="AZ188" s="3"/>
      <c r="BA188" s="3"/>
      <c r="BB188" s="3"/>
      <c r="BC188" s="3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3"/>
      <c r="AY189" s="3"/>
      <c r="AZ189" s="3"/>
      <c r="BA189" s="3"/>
      <c r="BB189" s="3"/>
      <c r="BC189" s="3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3"/>
      <c r="AY190" s="3"/>
      <c r="AZ190" s="3"/>
      <c r="BA190" s="3"/>
      <c r="BB190" s="3"/>
      <c r="BC190" s="3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3"/>
      <c r="AY191" s="3"/>
      <c r="AZ191" s="3"/>
      <c r="BA191" s="3"/>
      <c r="BB191" s="3"/>
      <c r="BC191" s="3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3"/>
      <c r="AY192" s="3"/>
      <c r="AZ192" s="3"/>
      <c r="BA192" s="3"/>
      <c r="BB192" s="3"/>
      <c r="BC192" s="3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3"/>
      <c r="AY193" s="3"/>
      <c r="AZ193" s="3"/>
      <c r="BA193" s="3"/>
      <c r="BB193" s="3"/>
      <c r="BC193" s="3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3"/>
      <c r="AY194" s="3"/>
      <c r="AZ194" s="3"/>
      <c r="BA194" s="3"/>
      <c r="BB194" s="3"/>
      <c r="BC194" s="3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3"/>
      <c r="AY195" s="3"/>
      <c r="AZ195" s="3"/>
      <c r="BA195" s="3"/>
      <c r="BB195" s="3"/>
      <c r="BC195" s="3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3"/>
      <c r="AY196" s="3"/>
      <c r="AZ196" s="3"/>
      <c r="BA196" s="3"/>
      <c r="BB196" s="3"/>
      <c r="BC196" s="3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3"/>
      <c r="AY197" s="3"/>
      <c r="AZ197" s="3"/>
      <c r="BA197" s="3"/>
      <c r="BB197" s="3"/>
      <c r="BC197" s="3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3"/>
      <c r="AY198" s="3"/>
      <c r="AZ198" s="3"/>
      <c r="BA198" s="3"/>
      <c r="BB198" s="3"/>
      <c r="BC198" s="3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3"/>
      <c r="AY199" s="3"/>
      <c r="AZ199" s="3"/>
      <c r="BA199" s="3"/>
      <c r="BB199" s="3"/>
      <c r="BC199" s="3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3"/>
      <c r="AY200" s="3"/>
      <c r="AZ200" s="3"/>
      <c r="BA200" s="3"/>
      <c r="BB200" s="3"/>
      <c r="BC200" s="3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3"/>
      <c r="AY201" s="3"/>
      <c r="AZ201" s="3"/>
      <c r="BA201" s="3"/>
      <c r="BB201" s="3"/>
      <c r="BC201" s="3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3"/>
      <c r="AY202" s="3"/>
      <c r="AZ202" s="3"/>
      <c r="BA202" s="3"/>
      <c r="BB202" s="3"/>
      <c r="BC202" s="3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3"/>
      <c r="AY203" s="3"/>
      <c r="AZ203" s="3"/>
      <c r="BA203" s="3"/>
      <c r="BB203" s="3"/>
      <c r="BC203" s="3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3"/>
      <c r="AY204" s="3"/>
      <c r="AZ204" s="3"/>
      <c r="BA204" s="3"/>
      <c r="BB204" s="3"/>
      <c r="BC204" s="3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3"/>
      <c r="AY205" s="3"/>
      <c r="AZ205" s="3"/>
      <c r="BA205" s="3"/>
      <c r="BB205" s="3"/>
      <c r="BC205" s="3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3"/>
      <c r="AY206" s="3"/>
      <c r="AZ206" s="3"/>
      <c r="BA206" s="3"/>
      <c r="BB206" s="3"/>
      <c r="BC206" s="3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3"/>
      <c r="AY207" s="3"/>
      <c r="AZ207" s="3"/>
      <c r="BA207" s="3"/>
      <c r="BB207" s="3"/>
      <c r="BC207" s="3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3"/>
      <c r="AY208" s="3"/>
      <c r="AZ208" s="3"/>
      <c r="BA208" s="3"/>
      <c r="BB208" s="3"/>
      <c r="BC208" s="3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3"/>
      <c r="AY209" s="3"/>
      <c r="AZ209" s="3"/>
      <c r="BA209" s="3"/>
      <c r="BB209" s="3"/>
      <c r="BC209" s="3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3"/>
      <c r="AY210" s="3"/>
      <c r="AZ210" s="3"/>
      <c r="BA210" s="3"/>
      <c r="BB210" s="3"/>
      <c r="BC210" s="3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3"/>
      <c r="AY211" s="3"/>
      <c r="AZ211" s="3"/>
      <c r="BA211" s="3"/>
      <c r="BB211" s="3"/>
      <c r="BC211" s="3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3"/>
      <c r="AY212" s="3"/>
      <c r="AZ212" s="3"/>
      <c r="BA212" s="3"/>
      <c r="BB212" s="3"/>
      <c r="BC212" s="3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3"/>
      <c r="AY213" s="3"/>
      <c r="AZ213" s="3"/>
      <c r="BA213" s="3"/>
      <c r="BB213" s="3"/>
      <c r="BC213" s="3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3"/>
      <c r="AY214" s="3"/>
      <c r="AZ214" s="3"/>
      <c r="BA214" s="3"/>
      <c r="BB214" s="3"/>
      <c r="BC214" s="3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3"/>
      <c r="AY215" s="3"/>
      <c r="AZ215" s="3"/>
      <c r="BA215" s="3"/>
      <c r="BB215" s="3"/>
      <c r="BC215" s="3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3"/>
      <c r="AY216" s="3"/>
      <c r="AZ216" s="3"/>
      <c r="BA216" s="3"/>
      <c r="BB216" s="3"/>
      <c r="BC216" s="3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3"/>
      <c r="AY217" s="3"/>
      <c r="AZ217" s="3"/>
      <c r="BA217" s="3"/>
      <c r="BB217" s="3"/>
      <c r="BC217" s="3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3"/>
      <c r="AY218" s="3"/>
      <c r="AZ218" s="3"/>
      <c r="BA218" s="3"/>
      <c r="BB218" s="3"/>
      <c r="BC218" s="3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3"/>
      <c r="AY219" s="3"/>
      <c r="AZ219" s="3"/>
      <c r="BA219" s="3"/>
      <c r="BB219" s="3"/>
      <c r="BC219" s="3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3"/>
      <c r="AY220" s="3"/>
      <c r="AZ220" s="3"/>
      <c r="BA220" s="3"/>
      <c r="BB220" s="3"/>
      <c r="BC220" s="3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3"/>
      <c r="AY221" s="3"/>
      <c r="AZ221" s="3"/>
      <c r="BA221" s="3"/>
      <c r="BB221" s="3"/>
      <c r="BC221" s="3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3"/>
      <c r="AY222" s="3"/>
      <c r="AZ222" s="3"/>
      <c r="BA222" s="3"/>
      <c r="BB222" s="3"/>
      <c r="BC222" s="3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3"/>
      <c r="AY223" s="3"/>
      <c r="AZ223" s="3"/>
      <c r="BA223" s="3"/>
      <c r="BB223" s="3"/>
      <c r="BC223" s="3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3"/>
      <c r="AY224" s="3"/>
      <c r="AZ224" s="3"/>
      <c r="BA224" s="3"/>
      <c r="BB224" s="3"/>
      <c r="BC224" s="3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3"/>
      <c r="AY225" s="3"/>
      <c r="AZ225" s="3"/>
      <c r="BA225" s="3"/>
      <c r="BB225" s="3"/>
      <c r="BC225" s="3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3"/>
      <c r="AY226" s="3"/>
      <c r="AZ226" s="3"/>
      <c r="BA226" s="3"/>
      <c r="BB226" s="3"/>
      <c r="BC226" s="3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3"/>
      <c r="AY227" s="3"/>
      <c r="AZ227" s="3"/>
      <c r="BA227" s="3"/>
      <c r="BB227" s="3"/>
      <c r="BC227" s="3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3"/>
      <c r="AY228" s="3"/>
      <c r="AZ228" s="3"/>
      <c r="BA228" s="3"/>
      <c r="BB228" s="3"/>
      <c r="BC228" s="3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3"/>
      <c r="AY229" s="3"/>
      <c r="AZ229" s="3"/>
      <c r="BA229" s="3"/>
      <c r="BB229" s="3"/>
      <c r="BC229" s="3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3"/>
      <c r="AY230" s="3"/>
      <c r="AZ230" s="3"/>
      <c r="BA230" s="3"/>
      <c r="BB230" s="3"/>
      <c r="BC230" s="3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3"/>
      <c r="AY231" s="3"/>
      <c r="AZ231" s="3"/>
      <c r="BA231" s="3"/>
      <c r="BB231" s="3"/>
      <c r="BC231" s="3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3"/>
      <c r="AY232" s="3"/>
      <c r="AZ232" s="3"/>
      <c r="BA232" s="3"/>
      <c r="BB232" s="3"/>
      <c r="BC232" s="3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3"/>
      <c r="AY233" s="3"/>
      <c r="AZ233" s="3"/>
      <c r="BA233" s="3"/>
      <c r="BB233" s="3"/>
      <c r="BC233" s="3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3"/>
      <c r="AY234" s="3"/>
      <c r="AZ234" s="3"/>
      <c r="BA234" s="3"/>
      <c r="BB234" s="3"/>
      <c r="BC234" s="3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3"/>
      <c r="AY235" s="3"/>
      <c r="AZ235" s="3"/>
      <c r="BA235" s="3"/>
      <c r="BB235" s="3"/>
      <c r="BC235" s="3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3"/>
      <c r="AY236" s="3"/>
      <c r="AZ236" s="3"/>
      <c r="BA236" s="3"/>
      <c r="BB236" s="3"/>
      <c r="BC236" s="3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3"/>
      <c r="AY237" s="3"/>
      <c r="AZ237" s="3"/>
      <c r="BA237" s="3"/>
      <c r="BB237" s="3"/>
      <c r="BC237" s="3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3"/>
      <c r="AY238" s="3"/>
      <c r="AZ238" s="3"/>
      <c r="BA238" s="3"/>
      <c r="BB238" s="3"/>
      <c r="BC238" s="3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3"/>
      <c r="AY239" s="3"/>
      <c r="AZ239" s="3"/>
      <c r="BA239" s="3"/>
      <c r="BB239" s="3"/>
      <c r="BC239" s="3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3"/>
      <c r="AY240" s="3"/>
      <c r="AZ240" s="3"/>
      <c r="BA240" s="3"/>
      <c r="BB240" s="3"/>
      <c r="BC240" s="3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3"/>
      <c r="AY241" s="3"/>
      <c r="AZ241" s="3"/>
      <c r="BA241" s="3"/>
      <c r="BB241" s="3"/>
      <c r="BC241" s="3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3"/>
      <c r="AY242" s="3"/>
      <c r="AZ242" s="3"/>
      <c r="BA242" s="3"/>
      <c r="BB242" s="3"/>
      <c r="BC242" s="3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3"/>
      <c r="AY243" s="3"/>
      <c r="AZ243" s="3"/>
      <c r="BA243" s="3"/>
      <c r="BB243" s="3"/>
      <c r="BC243" s="3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3"/>
      <c r="AY244" s="3"/>
      <c r="AZ244" s="3"/>
      <c r="BA244" s="3"/>
      <c r="BB244" s="3"/>
      <c r="BC244" s="3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3"/>
      <c r="AY245" s="3"/>
      <c r="AZ245" s="3"/>
      <c r="BA245" s="3"/>
      <c r="BB245" s="3"/>
      <c r="BC245" s="3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3"/>
      <c r="AY246" s="3"/>
      <c r="AZ246" s="3"/>
      <c r="BA246" s="3"/>
      <c r="BB246" s="3"/>
      <c r="BC246" s="3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3"/>
      <c r="AY247" s="3"/>
      <c r="AZ247" s="3"/>
      <c r="BA247" s="3"/>
      <c r="BB247" s="3"/>
      <c r="BC247" s="3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3"/>
      <c r="AY248" s="3"/>
      <c r="AZ248" s="3"/>
      <c r="BA248" s="3"/>
      <c r="BB248" s="3"/>
      <c r="BC248" s="3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3"/>
      <c r="AY249" s="3"/>
      <c r="AZ249" s="3"/>
      <c r="BA249" s="3"/>
      <c r="BB249" s="3"/>
      <c r="BC249" s="3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3"/>
      <c r="AY250" s="3"/>
      <c r="AZ250" s="3"/>
      <c r="BA250" s="3"/>
      <c r="BB250" s="3"/>
      <c r="BC250" s="3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3"/>
      <c r="AY251" s="3"/>
      <c r="AZ251" s="3"/>
      <c r="BA251" s="3"/>
      <c r="BB251" s="3"/>
      <c r="BC251" s="3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3"/>
      <c r="AY252" s="3"/>
      <c r="AZ252" s="3"/>
      <c r="BA252" s="3"/>
      <c r="BB252" s="3"/>
      <c r="BC252" s="3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3"/>
      <c r="AY253" s="3"/>
      <c r="AZ253" s="3"/>
      <c r="BA253" s="3"/>
      <c r="BB253" s="3"/>
      <c r="BC253" s="3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3"/>
      <c r="AY254" s="3"/>
      <c r="AZ254" s="3"/>
      <c r="BA254" s="3"/>
      <c r="BB254" s="3"/>
      <c r="BC254" s="3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3"/>
      <c r="AY255" s="3"/>
      <c r="AZ255" s="3"/>
      <c r="BA255" s="3"/>
      <c r="BB255" s="3"/>
      <c r="BC255" s="3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3"/>
      <c r="AY256" s="3"/>
      <c r="AZ256" s="3"/>
      <c r="BA256" s="3"/>
      <c r="BB256" s="3"/>
      <c r="BC256" s="3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3"/>
      <c r="AY257" s="3"/>
      <c r="AZ257" s="3"/>
      <c r="BA257" s="3"/>
      <c r="BB257" s="3"/>
      <c r="BC257" s="3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3"/>
      <c r="AY258" s="3"/>
      <c r="AZ258" s="3"/>
      <c r="BA258" s="3"/>
      <c r="BB258" s="3"/>
      <c r="BC258" s="3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3"/>
      <c r="AY259" s="3"/>
      <c r="AZ259" s="3"/>
      <c r="BA259" s="3"/>
      <c r="BB259" s="3"/>
      <c r="BC259" s="3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3"/>
      <c r="AY260" s="3"/>
      <c r="AZ260" s="3"/>
      <c r="BA260" s="3"/>
      <c r="BB260" s="3"/>
      <c r="BC260" s="3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3"/>
      <c r="AY261" s="3"/>
      <c r="AZ261" s="3"/>
      <c r="BA261" s="3"/>
      <c r="BB261" s="3"/>
      <c r="BC261" s="3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3"/>
      <c r="AY262" s="3"/>
      <c r="AZ262" s="3"/>
      <c r="BA262" s="3"/>
      <c r="BB262" s="3"/>
      <c r="BC262" s="3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3"/>
      <c r="AY263" s="3"/>
      <c r="AZ263" s="3"/>
      <c r="BA263" s="3"/>
      <c r="BB263" s="3"/>
      <c r="BC263" s="3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3"/>
      <c r="AY264" s="3"/>
      <c r="AZ264" s="3"/>
      <c r="BA264" s="3"/>
      <c r="BB264" s="3"/>
      <c r="BC264" s="3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3"/>
      <c r="AY265" s="3"/>
      <c r="AZ265" s="3"/>
      <c r="BA265" s="3"/>
      <c r="BB265" s="3"/>
      <c r="BC265" s="3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3"/>
      <c r="AY266" s="3"/>
      <c r="AZ266" s="3"/>
      <c r="BA266" s="3"/>
      <c r="BB266" s="3"/>
      <c r="BC266" s="3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3"/>
      <c r="AY267" s="3"/>
      <c r="AZ267" s="3"/>
      <c r="BA267" s="3"/>
      <c r="BB267" s="3"/>
      <c r="BC267" s="3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3"/>
      <c r="AY268" s="3"/>
      <c r="AZ268" s="3"/>
      <c r="BA268" s="3"/>
      <c r="BB268" s="3"/>
      <c r="BC268" s="3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3"/>
      <c r="AY269" s="3"/>
      <c r="AZ269" s="3"/>
      <c r="BA269" s="3"/>
      <c r="BB269" s="3"/>
      <c r="BC269" s="3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3"/>
      <c r="AY270" s="3"/>
      <c r="AZ270" s="3"/>
      <c r="BA270" s="3"/>
      <c r="BB270" s="3"/>
      <c r="BC270" s="3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3"/>
      <c r="AY271" s="3"/>
      <c r="AZ271" s="3"/>
      <c r="BA271" s="3"/>
      <c r="BB271" s="3"/>
      <c r="BC271" s="3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3"/>
      <c r="AY272" s="3"/>
      <c r="AZ272" s="3"/>
      <c r="BA272" s="3"/>
      <c r="BB272" s="3"/>
      <c r="BC272" s="3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3"/>
      <c r="AY273" s="3"/>
      <c r="AZ273" s="3"/>
      <c r="BA273" s="3"/>
      <c r="BB273" s="3"/>
      <c r="BC273" s="3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3"/>
      <c r="AY274" s="3"/>
      <c r="AZ274" s="3"/>
      <c r="BA274" s="3"/>
      <c r="BB274" s="3"/>
      <c r="BC274" s="3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3"/>
      <c r="AY275" s="3"/>
      <c r="AZ275" s="3"/>
      <c r="BA275" s="3"/>
      <c r="BB275" s="3"/>
      <c r="BC275" s="3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3"/>
      <c r="AY276" s="3"/>
      <c r="AZ276" s="3"/>
      <c r="BA276" s="3"/>
      <c r="BB276" s="3"/>
      <c r="BC276" s="3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3"/>
      <c r="AY277" s="3"/>
      <c r="AZ277" s="3"/>
      <c r="BA277" s="3"/>
      <c r="BB277" s="3"/>
      <c r="BC277" s="3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3"/>
      <c r="AY278" s="3"/>
      <c r="AZ278" s="3"/>
      <c r="BA278" s="3"/>
      <c r="BB278" s="3"/>
      <c r="BC278" s="3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3"/>
      <c r="AY279" s="3"/>
      <c r="AZ279" s="3"/>
      <c r="BA279" s="3"/>
      <c r="BB279" s="3"/>
      <c r="BC279" s="3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3"/>
      <c r="AY280" s="3"/>
      <c r="AZ280" s="3"/>
      <c r="BA280" s="3"/>
      <c r="BB280" s="3"/>
      <c r="BC280" s="3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3"/>
      <c r="AY281" s="3"/>
      <c r="AZ281" s="3"/>
      <c r="BA281" s="3"/>
      <c r="BB281" s="3"/>
      <c r="BC281" s="3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3"/>
      <c r="AY282" s="3"/>
      <c r="AZ282" s="3"/>
      <c r="BA282" s="3"/>
      <c r="BB282" s="3"/>
      <c r="BC282" s="3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3"/>
      <c r="AY283" s="3"/>
      <c r="AZ283" s="3"/>
      <c r="BA283" s="3"/>
      <c r="BB283" s="3"/>
      <c r="BC283" s="3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3"/>
      <c r="AY284" s="3"/>
      <c r="AZ284" s="3"/>
      <c r="BA284" s="3"/>
      <c r="BB284" s="3"/>
      <c r="BC284" s="3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3"/>
      <c r="AY285" s="3"/>
      <c r="AZ285" s="3"/>
      <c r="BA285" s="3"/>
      <c r="BB285" s="3"/>
      <c r="BC285" s="3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3"/>
      <c r="AY286" s="3"/>
      <c r="AZ286" s="3"/>
      <c r="BA286" s="3"/>
      <c r="BB286" s="3"/>
      <c r="BC286" s="3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3"/>
      <c r="AY287" s="3"/>
      <c r="AZ287" s="3"/>
      <c r="BA287" s="3"/>
      <c r="BB287" s="3"/>
      <c r="BC287" s="3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3"/>
      <c r="AY288" s="3"/>
      <c r="AZ288" s="3"/>
      <c r="BA288" s="3"/>
      <c r="BB288" s="3"/>
      <c r="BC288" s="3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3"/>
      <c r="AY289" s="3"/>
      <c r="AZ289" s="3"/>
      <c r="BA289" s="3"/>
      <c r="BB289" s="3"/>
      <c r="BC289" s="3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3"/>
      <c r="AY290" s="3"/>
      <c r="AZ290" s="3"/>
      <c r="BA290" s="3"/>
      <c r="BB290" s="3"/>
      <c r="BC290" s="3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3"/>
      <c r="AY291" s="3"/>
      <c r="AZ291" s="3"/>
      <c r="BA291" s="3"/>
      <c r="BB291" s="3"/>
      <c r="BC291" s="3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3"/>
      <c r="AY292" s="3"/>
      <c r="AZ292" s="3"/>
      <c r="BA292" s="3"/>
      <c r="BB292" s="3"/>
      <c r="BC292" s="3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3"/>
      <c r="AY293" s="3"/>
      <c r="AZ293" s="3"/>
      <c r="BA293" s="3"/>
      <c r="BB293" s="3"/>
      <c r="BC293" s="3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3"/>
      <c r="AY294" s="3"/>
      <c r="AZ294" s="3"/>
      <c r="BA294" s="3"/>
      <c r="BB294" s="3"/>
      <c r="BC294" s="3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3"/>
      <c r="AY295" s="3"/>
      <c r="AZ295" s="3"/>
      <c r="BA295" s="3"/>
      <c r="BB295" s="3"/>
      <c r="BC295" s="3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3"/>
      <c r="AY296" s="3"/>
      <c r="AZ296" s="3"/>
      <c r="BA296" s="3"/>
      <c r="BB296" s="3"/>
      <c r="BC296" s="3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3"/>
      <c r="AY297" s="3"/>
      <c r="AZ297" s="3"/>
      <c r="BA297" s="3"/>
      <c r="BB297" s="3"/>
      <c r="BC297" s="3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3"/>
      <c r="AY298" s="3"/>
      <c r="AZ298" s="3"/>
      <c r="BA298" s="3"/>
      <c r="BB298" s="3"/>
      <c r="BC298" s="3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3"/>
      <c r="AY299" s="3"/>
      <c r="AZ299" s="3"/>
      <c r="BA299" s="3"/>
      <c r="BB299" s="3"/>
      <c r="BC299" s="3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3"/>
      <c r="AY300" s="3"/>
      <c r="AZ300" s="3"/>
      <c r="BA300" s="3"/>
      <c r="BB300" s="3"/>
      <c r="BC300" s="3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3"/>
      <c r="AY301" s="3"/>
      <c r="AZ301" s="3"/>
      <c r="BA301" s="3"/>
      <c r="BB301" s="3"/>
      <c r="BC301" s="3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3"/>
      <c r="AY302" s="3"/>
      <c r="AZ302" s="3"/>
      <c r="BA302" s="3"/>
      <c r="BB302" s="3"/>
      <c r="BC302" s="3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3"/>
      <c r="AY303" s="3"/>
      <c r="AZ303" s="3"/>
      <c r="BA303" s="3"/>
      <c r="BB303" s="3"/>
      <c r="BC303" s="3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3"/>
      <c r="AY304" s="3"/>
      <c r="AZ304" s="3"/>
      <c r="BA304" s="3"/>
      <c r="BB304" s="3"/>
      <c r="BC304" s="3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3"/>
      <c r="AY305" s="3"/>
      <c r="AZ305" s="3"/>
      <c r="BA305" s="3"/>
      <c r="BB305" s="3"/>
      <c r="BC305" s="3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3"/>
      <c r="AY306" s="3"/>
      <c r="AZ306" s="3"/>
      <c r="BA306" s="3"/>
      <c r="BB306" s="3"/>
      <c r="BC306" s="3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3"/>
      <c r="AY307" s="3"/>
      <c r="AZ307" s="3"/>
      <c r="BA307" s="3"/>
      <c r="BB307" s="3"/>
      <c r="BC307" s="3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3"/>
      <c r="AY308" s="3"/>
      <c r="AZ308" s="3"/>
      <c r="BA308" s="3"/>
      <c r="BB308" s="3"/>
      <c r="BC308" s="3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3"/>
      <c r="AY309" s="3"/>
      <c r="AZ309" s="3"/>
      <c r="BA309" s="3"/>
      <c r="BB309" s="3"/>
      <c r="BC309" s="3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3"/>
      <c r="AY310" s="3"/>
      <c r="AZ310" s="3"/>
      <c r="BA310" s="3"/>
      <c r="BB310" s="3"/>
      <c r="BC310" s="3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3"/>
      <c r="AY311" s="3"/>
      <c r="AZ311" s="3"/>
      <c r="BA311" s="3"/>
      <c r="BB311" s="3"/>
      <c r="BC311" s="3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3"/>
      <c r="AY312" s="3"/>
      <c r="AZ312" s="3"/>
      <c r="BA312" s="3"/>
      <c r="BB312" s="3"/>
      <c r="BC312" s="3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3"/>
      <c r="AY313" s="3"/>
      <c r="AZ313" s="3"/>
      <c r="BA313" s="3"/>
      <c r="BB313" s="3"/>
      <c r="BC313" s="3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3"/>
      <c r="AY314" s="3"/>
      <c r="AZ314" s="3"/>
      <c r="BA314" s="3"/>
      <c r="BB314" s="3"/>
      <c r="BC314" s="3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3"/>
      <c r="AY315" s="3"/>
      <c r="AZ315" s="3"/>
      <c r="BA315" s="3"/>
      <c r="BB315" s="3"/>
      <c r="BC315" s="3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3"/>
      <c r="AY316" s="3"/>
      <c r="AZ316" s="3"/>
      <c r="BA316" s="3"/>
      <c r="BB316" s="3"/>
      <c r="BC316" s="3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3"/>
      <c r="AY317" s="3"/>
      <c r="AZ317" s="3"/>
      <c r="BA317" s="3"/>
      <c r="BB317" s="3"/>
      <c r="BC317" s="3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3"/>
      <c r="AY318" s="3"/>
      <c r="AZ318" s="3"/>
      <c r="BA318" s="3"/>
      <c r="BB318" s="3"/>
      <c r="BC318" s="3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3"/>
      <c r="AY319" s="3"/>
      <c r="AZ319" s="3"/>
      <c r="BA319" s="3"/>
      <c r="BB319" s="3"/>
      <c r="BC319" s="3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3"/>
      <c r="AY320" s="3"/>
      <c r="AZ320" s="3"/>
      <c r="BA320" s="3"/>
      <c r="BB320" s="3"/>
      <c r="BC320" s="3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3"/>
      <c r="AY321" s="3"/>
      <c r="AZ321" s="3"/>
      <c r="BA321" s="3"/>
      <c r="BB321" s="3"/>
      <c r="BC321" s="3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3"/>
      <c r="AY322" s="3"/>
      <c r="AZ322" s="3"/>
      <c r="BA322" s="3"/>
      <c r="BB322" s="3"/>
      <c r="BC322" s="3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3"/>
      <c r="AY323" s="3"/>
      <c r="AZ323" s="3"/>
      <c r="BA323" s="3"/>
      <c r="BB323" s="3"/>
      <c r="BC323" s="3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3"/>
      <c r="AY324" s="3"/>
      <c r="AZ324" s="3"/>
      <c r="BA324" s="3"/>
      <c r="BB324" s="3"/>
      <c r="BC324" s="3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3"/>
      <c r="AY325" s="3"/>
      <c r="AZ325" s="3"/>
      <c r="BA325" s="3"/>
      <c r="BB325" s="3"/>
      <c r="BC325" s="3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3"/>
      <c r="AY326" s="3"/>
      <c r="AZ326" s="3"/>
      <c r="BA326" s="3"/>
      <c r="BB326" s="3"/>
      <c r="BC326" s="3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3"/>
      <c r="AY327" s="3"/>
      <c r="AZ327" s="3"/>
      <c r="BA327" s="3"/>
      <c r="BB327" s="3"/>
      <c r="BC327" s="3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3"/>
      <c r="AY328" s="3"/>
      <c r="AZ328" s="3"/>
      <c r="BA328" s="3"/>
      <c r="BB328" s="3"/>
      <c r="BC328" s="3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3"/>
      <c r="AY329" s="3"/>
      <c r="AZ329" s="3"/>
      <c r="BA329" s="3"/>
      <c r="BB329" s="3"/>
      <c r="BC329" s="3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3"/>
      <c r="AY330" s="3"/>
      <c r="AZ330" s="3"/>
      <c r="BA330" s="3"/>
      <c r="BB330" s="3"/>
      <c r="BC330" s="3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3"/>
      <c r="AY331" s="3"/>
      <c r="AZ331" s="3"/>
      <c r="BA331" s="3"/>
      <c r="BB331" s="3"/>
      <c r="BC331" s="3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3"/>
      <c r="AY332" s="3"/>
      <c r="AZ332" s="3"/>
      <c r="BA332" s="3"/>
      <c r="BB332" s="3"/>
      <c r="BC332" s="3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3"/>
      <c r="AY333" s="3"/>
      <c r="AZ333" s="3"/>
      <c r="BA333" s="3"/>
      <c r="BB333" s="3"/>
      <c r="BC333" s="3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3"/>
      <c r="AY334" s="3"/>
      <c r="AZ334" s="3"/>
      <c r="BA334" s="3"/>
      <c r="BB334" s="3"/>
      <c r="BC334" s="3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3"/>
      <c r="AY335" s="3"/>
      <c r="AZ335" s="3"/>
      <c r="BA335" s="3"/>
      <c r="BB335" s="3"/>
      <c r="BC335" s="3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3"/>
      <c r="AY336" s="3"/>
      <c r="AZ336" s="3"/>
      <c r="BA336" s="3"/>
      <c r="BB336" s="3"/>
      <c r="BC336" s="3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3"/>
      <c r="AY337" s="3"/>
      <c r="AZ337" s="3"/>
      <c r="BA337" s="3"/>
      <c r="BB337" s="3"/>
      <c r="BC337" s="3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3"/>
      <c r="AY338" s="3"/>
      <c r="AZ338" s="3"/>
      <c r="BA338" s="3"/>
      <c r="BB338" s="3"/>
      <c r="BC338" s="3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3"/>
      <c r="AY339" s="3"/>
      <c r="AZ339" s="3"/>
      <c r="BA339" s="3"/>
      <c r="BB339" s="3"/>
      <c r="BC339" s="3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3"/>
      <c r="AY340" s="3"/>
      <c r="AZ340" s="3"/>
      <c r="BA340" s="3"/>
      <c r="BB340" s="3"/>
      <c r="BC340" s="3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3"/>
      <c r="AY341" s="3"/>
      <c r="AZ341" s="3"/>
      <c r="BA341" s="3"/>
      <c r="BB341" s="3"/>
      <c r="BC341" s="3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3"/>
      <c r="AY342" s="3"/>
      <c r="AZ342" s="3"/>
      <c r="BA342" s="3"/>
      <c r="BB342" s="3"/>
      <c r="BC342" s="3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3"/>
      <c r="AY343" s="3"/>
      <c r="AZ343" s="3"/>
      <c r="BA343" s="3"/>
      <c r="BB343" s="3"/>
      <c r="BC343" s="3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3"/>
      <c r="AY344" s="3"/>
      <c r="AZ344" s="3"/>
      <c r="BA344" s="3"/>
      <c r="BB344" s="3"/>
      <c r="BC344" s="3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3"/>
      <c r="AY345" s="3"/>
      <c r="AZ345" s="3"/>
      <c r="BA345" s="3"/>
      <c r="BB345" s="3"/>
      <c r="BC345" s="3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3"/>
      <c r="AY346" s="3"/>
      <c r="AZ346" s="3"/>
      <c r="BA346" s="3"/>
      <c r="BB346" s="3"/>
      <c r="BC346" s="3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3"/>
      <c r="AY347" s="3"/>
      <c r="AZ347" s="3"/>
      <c r="BA347" s="3"/>
      <c r="BB347" s="3"/>
      <c r="BC347" s="3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3"/>
      <c r="AY348" s="3"/>
      <c r="AZ348" s="3"/>
      <c r="BA348" s="3"/>
      <c r="BB348" s="3"/>
      <c r="BC348" s="3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3"/>
      <c r="AY349" s="3"/>
      <c r="AZ349" s="3"/>
      <c r="BA349" s="3"/>
      <c r="BB349" s="3"/>
      <c r="BC349" s="3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3"/>
      <c r="AY350" s="3"/>
      <c r="AZ350" s="3"/>
      <c r="BA350" s="3"/>
      <c r="BB350" s="3"/>
      <c r="BC350" s="3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3"/>
      <c r="AY351" s="3"/>
      <c r="AZ351" s="3"/>
      <c r="BA351" s="3"/>
      <c r="BB351" s="3"/>
      <c r="BC351" s="3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3"/>
      <c r="AY352" s="3"/>
      <c r="AZ352" s="3"/>
      <c r="BA352" s="3"/>
      <c r="BB352" s="3"/>
      <c r="BC352" s="3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3"/>
      <c r="AY353" s="3"/>
      <c r="AZ353" s="3"/>
      <c r="BA353" s="3"/>
      <c r="BB353" s="3"/>
      <c r="BC353" s="3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3"/>
      <c r="AY354" s="3"/>
      <c r="AZ354" s="3"/>
      <c r="BA354" s="3"/>
      <c r="BB354" s="3"/>
      <c r="BC354" s="3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3"/>
      <c r="AY355" s="3"/>
      <c r="AZ355" s="3"/>
      <c r="BA355" s="3"/>
      <c r="BB355" s="3"/>
      <c r="BC355" s="3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3"/>
      <c r="AY356" s="3"/>
      <c r="AZ356" s="3"/>
      <c r="BA356" s="3"/>
      <c r="BB356" s="3"/>
      <c r="BC356" s="3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3"/>
      <c r="AY357" s="3"/>
      <c r="AZ357" s="3"/>
      <c r="BA357" s="3"/>
      <c r="BB357" s="3"/>
      <c r="BC357" s="3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3"/>
      <c r="AY358" s="3"/>
      <c r="AZ358" s="3"/>
      <c r="BA358" s="3"/>
      <c r="BB358" s="3"/>
      <c r="BC358" s="3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3"/>
      <c r="AY359" s="3"/>
      <c r="AZ359" s="3"/>
      <c r="BA359" s="3"/>
      <c r="BB359" s="3"/>
      <c r="BC359" s="3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3"/>
      <c r="AY360" s="3"/>
      <c r="AZ360" s="3"/>
      <c r="BA360" s="3"/>
      <c r="BB360" s="3"/>
      <c r="BC360" s="3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3"/>
      <c r="AY361" s="3"/>
      <c r="AZ361" s="3"/>
      <c r="BA361" s="3"/>
      <c r="BB361" s="3"/>
      <c r="BC361" s="3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3"/>
      <c r="AY362" s="3"/>
      <c r="AZ362" s="3"/>
      <c r="BA362" s="3"/>
      <c r="BB362" s="3"/>
      <c r="BC362" s="3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3"/>
      <c r="AY363" s="3"/>
      <c r="AZ363" s="3"/>
      <c r="BA363" s="3"/>
      <c r="BB363" s="3"/>
      <c r="BC363" s="3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3"/>
      <c r="AY364" s="3"/>
      <c r="AZ364" s="3"/>
      <c r="BA364" s="3"/>
      <c r="BB364" s="3"/>
      <c r="BC364" s="3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3"/>
      <c r="AY365" s="3"/>
      <c r="AZ365" s="3"/>
      <c r="BA365" s="3"/>
      <c r="BB365" s="3"/>
      <c r="BC365" s="3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3"/>
      <c r="AY366" s="3"/>
      <c r="AZ366" s="3"/>
      <c r="BA366" s="3"/>
      <c r="BB366" s="3"/>
      <c r="BC366" s="3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3"/>
      <c r="AY367" s="3"/>
      <c r="AZ367" s="3"/>
      <c r="BA367" s="3"/>
      <c r="BB367" s="3"/>
      <c r="BC367" s="3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3"/>
      <c r="AY368" s="3"/>
      <c r="AZ368" s="3"/>
      <c r="BA368" s="3"/>
      <c r="BB368" s="3"/>
      <c r="BC368" s="3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3"/>
      <c r="AY369" s="3"/>
      <c r="AZ369" s="3"/>
      <c r="BA369" s="3"/>
      <c r="BB369" s="3"/>
      <c r="BC369" s="3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3"/>
      <c r="AY370" s="3"/>
      <c r="AZ370" s="3"/>
      <c r="BA370" s="3"/>
      <c r="BB370" s="3"/>
      <c r="BC370" s="3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3"/>
      <c r="AY371" s="3"/>
      <c r="AZ371" s="3"/>
      <c r="BA371" s="3"/>
      <c r="BB371" s="3"/>
      <c r="BC371" s="3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3"/>
      <c r="AY372" s="3"/>
      <c r="AZ372" s="3"/>
      <c r="BA372" s="3"/>
      <c r="BB372" s="3"/>
      <c r="BC372" s="3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3"/>
      <c r="AY373" s="3"/>
      <c r="AZ373" s="3"/>
      <c r="BA373" s="3"/>
      <c r="BB373" s="3"/>
      <c r="BC373" s="3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3"/>
      <c r="AY374" s="3"/>
      <c r="AZ374" s="3"/>
      <c r="BA374" s="3"/>
      <c r="BB374" s="3"/>
      <c r="BC374" s="3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3"/>
      <c r="AY375" s="3"/>
      <c r="AZ375" s="3"/>
      <c r="BA375" s="3"/>
      <c r="BB375" s="3"/>
      <c r="BC375" s="3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3"/>
      <c r="AY376" s="3"/>
      <c r="AZ376" s="3"/>
      <c r="BA376" s="3"/>
      <c r="BB376" s="3"/>
      <c r="BC376" s="3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3"/>
      <c r="AY377" s="3"/>
      <c r="AZ377" s="3"/>
      <c r="BA377" s="3"/>
      <c r="BB377" s="3"/>
      <c r="BC377" s="3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3"/>
      <c r="AY378" s="3"/>
      <c r="AZ378" s="3"/>
      <c r="BA378" s="3"/>
      <c r="BB378" s="3"/>
      <c r="BC378" s="3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3"/>
      <c r="AY379" s="3"/>
      <c r="AZ379" s="3"/>
      <c r="BA379" s="3"/>
      <c r="BB379" s="3"/>
      <c r="BC379" s="3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3"/>
      <c r="AY380" s="3"/>
      <c r="AZ380" s="3"/>
      <c r="BA380" s="3"/>
      <c r="BB380" s="3"/>
      <c r="BC380" s="3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3"/>
      <c r="AY381" s="3"/>
      <c r="AZ381" s="3"/>
      <c r="BA381" s="3"/>
      <c r="BB381" s="3"/>
      <c r="BC381" s="3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3"/>
      <c r="AY382" s="3"/>
      <c r="AZ382" s="3"/>
      <c r="BA382" s="3"/>
      <c r="BB382" s="3"/>
      <c r="BC382" s="3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3"/>
      <c r="AY383" s="3"/>
      <c r="AZ383" s="3"/>
      <c r="BA383" s="3"/>
      <c r="BB383" s="3"/>
      <c r="BC383" s="3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3"/>
      <c r="AY384" s="3"/>
      <c r="AZ384" s="3"/>
      <c r="BA384" s="3"/>
      <c r="BB384" s="3"/>
      <c r="BC384" s="3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3"/>
      <c r="AY385" s="3"/>
      <c r="AZ385" s="3"/>
      <c r="BA385" s="3"/>
      <c r="BB385" s="3"/>
      <c r="BC385" s="3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3"/>
      <c r="AY386" s="3"/>
      <c r="AZ386" s="3"/>
      <c r="BA386" s="3"/>
      <c r="BB386" s="3"/>
      <c r="BC386" s="3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3"/>
      <c r="AY387" s="3"/>
      <c r="AZ387" s="3"/>
      <c r="BA387" s="3"/>
      <c r="BB387" s="3"/>
      <c r="BC387" s="3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3"/>
      <c r="AY388" s="3"/>
      <c r="AZ388" s="3"/>
      <c r="BA388" s="3"/>
      <c r="BB388" s="3"/>
      <c r="BC388" s="3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3"/>
      <c r="AY389" s="3"/>
      <c r="AZ389" s="3"/>
      <c r="BA389" s="3"/>
      <c r="BB389" s="3"/>
      <c r="BC389" s="3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3"/>
      <c r="AY390" s="3"/>
      <c r="AZ390" s="3"/>
      <c r="BA390" s="3"/>
      <c r="BB390" s="3"/>
      <c r="BC390" s="3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3"/>
      <c r="AY391" s="3"/>
      <c r="AZ391" s="3"/>
      <c r="BA391" s="3"/>
      <c r="BB391" s="3"/>
      <c r="BC391" s="3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3"/>
      <c r="AY392" s="3"/>
      <c r="AZ392" s="3"/>
      <c r="BA392" s="3"/>
      <c r="BB392" s="3"/>
      <c r="BC392" s="3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3"/>
      <c r="AY393" s="3"/>
      <c r="AZ393" s="3"/>
      <c r="BA393" s="3"/>
      <c r="BB393" s="3"/>
      <c r="BC393" s="3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3"/>
      <c r="AY394" s="3"/>
      <c r="AZ394" s="3"/>
      <c r="BA394" s="3"/>
      <c r="BB394" s="3"/>
      <c r="BC394" s="3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3"/>
      <c r="AY395" s="3"/>
      <c r="AZ395" s="3"/>
      <c r="BA395" s="3"/>
      <c r="BB395" s="3"/>
      <c r="BC395" s="3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3"/>
      <c r="AY396" s="3"/>
      <c r="AZ396" s="3"/>
      <c r="BA396" s="3"/>
      <c r="BB396" s="3"/>
      <c r="BC396" s="3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3"/>
      <c r="AY397" s="3"/>
      <c r="AZ397" s="3"/>
      <c r="BA397" s="3"/>
      <c r="BB397" s="3"/>
      <c r="BC397" s="3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3"/>
      <c r="AY398" s="3"/>
      <c r="AZ398" s="3"/>
      <c r="BA398" s="3"/>
      <c r="BB398" s="3"/>
      <c r="BC398" s="3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3"/>
      <c r="AY399" s="3"/>
      <c r="AZ399" s="3"/>
      <c r="BA399" s="3"/>
      <c r="BB399" s="3"/>
      <c r="BC399" s="3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3"/>
      <c r="AY400" s="3"/>
      <c r="AZ400" s="3"/>
      <c r="BA400" s="3"/>
      <c r="BB400" s="3"/>
      <c r="BC400" s="3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3"/>
      <c r="AY401" s="3"/>
      <c r="AZ401" s="3"/>
      <c r="BA401" s="3"/>
      <c r="BB401" s="3"/>
      <c r="BC401" s="3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3"/>
      <c r="AY402" s="3"/>
      <c r="AZ402" s="3"/>
      <c r="BA402" s="3"/>
      <c r="BB402" s="3"/>
      <c r="BC402" s="3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3"/>
      <c r="AY403" s="3"/>
      <c r="AZ403" s="3"/>
      <c r="BA403" s="3"/>
      <c r="BB403" s="3"/>
      <c r="BC403" s="3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3"/>
      <c r="AY404" s="3"/>
      <c r="AZ404" s="3"/>
      <c r="BA404" s="3"/>
      <c r="BB404" s="3"/>
      <c r="BC404" s="3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3"/>
      <c r="AY405" s="3"/>
      <c r="AZ405" s="3"/>
      <c r="BA405" s="3"/>
      <c r="BB405" s="3"/>
      <c r="BC405" s="3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3"/>
      <c r="AY406" s="3"/>
      <c r="AZ406" s="3"/>
      <c r="BA406" s="3"/>
      <c r="BB406" s="3"/>
      <c r="BC406" s="3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3"/>
      <c r="AY407" s="3"/>
      <c r="AZ407" s="3"/>
      <c r="BA407" s="3"/>
      <c r="BB407" s="3"/>
      <c r="BC407" s="3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3"/>
      <c r="AY408" s="3"/>
      <c r="AZ408" s="3"/>
      <c r="BA408" s="3"/>
      <c r="BB408" s="3"/>
      <c r="BC408" s="3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3"/>
      <c r="AY409" s="3"/>
      <c r="AZ409" s="3"/>
      <c r="BA409" s="3"/>
      <c r="BB409" s="3"/>
      <c r="BC409" s="3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3"/>
      <c r="AY410" s="3"/>
      <c r="AZ410" s="3"/>
      <c r="BA410" s="3"/>
      <c r="BB410" s="3"/>
      <c r="BC410" s="3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3"/>
      <c r="AY411" s="3"/>
      <c r="AZ411" s="3"/>
      <c r="BA411" s="3"/>
      <c r="BB411" s="3"/>
      <c r="BC411" s="3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3"/>
      <c r="AY412" s="3"/>
      <c r="AZ412" s="3"/>
      <c r="BA412" s="3"/>
      <c r="BB412" s="3"/>
      <c r="BC412" s="3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3"/>
      <c r="AY413" s="3"/>
      <c r="AZ413" s="3"/>
      <c r="BA413" s="3"/>
      <c r="BB413" s="3"/>
      <c r="BC413" s="3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3"/>
      <c r="AY414" s="3"/>
      <c r="AZ414" s="3"/>
      <c r="BA414" s="3"/>
      <c r="BB414" s="3"/>
      <c r="BC414" s="3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3"/>
      <c r="AY415" s="3"/>
      <c r="AZ415" s="3"/>
      <c r="BA415" s="3"/>
      <c r="BB415" s="3"/>
      <c r="BC415" s="3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3"/>
      <c r="AY416" s="3"/>
      <c r="AZ416" s="3"/>
      <c r="BA416" s="3"/>
      <c r="BB416" s="3"/>
      <c r="BC416" s="3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3"/>
      <c r="AY417" s="3"/>
      <c r="AZ417" s="3"/>
      <c r="BA417" s="3"/>
      <c r="BB417" s="3"/>
      <c r="BC417" s="3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3"/>
      <c r="AY418" s="3"/>
      <c r="AZ418" s="3"/>
      <c r="BA418" s="3"/>
      <c r="BB418" s="3"/>
      <c r="BC418" s="3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3"/>
      <c r="AY419" s="3"/>
      <c r="AZ419" s="3"/>
      <c r="BA419" s="3"/>
      <c r="BB419" s="3"/>
      <c r="BC419" s="3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3"/>
      <c r="AY420" s="3"/>
      <c r="AZ420" s="3"/>
      <c r="BA420" s="3"/>
      <c r="BB420" s="3"/>
      <c r="BC420" s="3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3"/>
      <c r="AY421" s="3"/>
      <c r="AZ421" s="3"/>
      <c r="BA421" s="3"/>
      <c r="BB421" s="3"/>
      <c r="BC421" s="3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3"/>
      <c r="AY422" s="3"/>
      <c r="AZ422" s="3"/>
      <c r="BA422" s="3"/>
      <c r="BB422" s="3"/>
      <c r="BC422" s="3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3"/>
      <c r="AY423" s="3"/>
      <c r="AZ423" s="3"/>
      <c r="BA423" s="3"/>
      <c r="BB423" s="3"/>
      <c r="BC423" s="3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3"/>
      <c r="AY424" s="3"/>
      <c r="AZ424" s="3"/>
      <c r="BA424" s="3"/>
      <c r="BB424" s="3"/>
      <c r="BC424" s="3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3"/>
      <c r="AY425" s="3"/>
      <c r="AZ425" s="3"/>
      <c r="BA425" s="3"/>
      <c r="BB425" s="3"/>
      <c r="BC425" s="3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3"/>
      <c r="AY426" s="3"/>
      <c r="AZ426" s="3"/>
      <c r="BA426" s="3"/>
      <c r="BB426" s="3"/>
      <c r="BC426" s="3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3"/>
      <c r="AY427" s="3"/>
      <c r="AZ427" s="3"/>
      <c r="BA427" s="3"/>
      <c r="BB427" s="3"/>
      <c r="BC427" s="3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3"/>
      <c r="AY428" s="3"/>
      <c r="AZ428" s="3"/>
      <c r="BA428" s="3"/>
      <c r="BB428" s="3"/>
      <c r="BC428" s="3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3"/>
      <c r="AY429" s="3"/>
      <c r="AZ429" s="3"/>
      <c r="BA429" s="3"/>
      <c r="BB429" s="3"/>
      <c r="BC429" s="3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3"/>
      <c r="AY430" s="3"/>
      <c r="AZ430" s="3"/>
      <c r="BA430" s="3"/>
      <c r="BB430" s="3"/>
      <c r="BC430" s="3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3"/>
      <c r="AY431" s="3"/>
      <c r="AZ431" s="3"/>
      <c r="BA431" s="3"/>
      <c r="BB431" s="3"/>
      <c r="BC431" s="3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3"/>
      <c r="AY432" s="3"/>
      <c r="AZ432" s="3"/>
      <c r="BA432" s="3"/>
      <c r="BB432" s="3"/>
      <c r="BC432" s="3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3"/>
      <c r="AY433" s="3"/>
      <c r="AZ433" s="3"/>
      <c r="BA433" s="3"/>
      <c r="BB433" s="3"/>
      <c r="BC433" s="3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3"/>
      <c r="AY434" s="3"/>
      <c r="AZ434" s="3"/>
      <c r="BA434" s="3"/>
      <c r="BB434" s="3"/>
      <c r="BC434" s="3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3"/>
      <c r="AY435" s="3"/>
      <c r="AZ435" s="3"/>
      <c r="BA435" s="3"/>
      <c r="BB435" s="3"/>
      <c r="BC435" s="3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3"/>
      <c r="AY436" s="3"/>
      <c r="AZ436" s="3"/>
      <c r="BA436" s="3"/>
      <c r="BB436" s="3"/>
      <c r="BC436" s="3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3"/>
      <c r="AY437" s="3"/>
      <c r="AZ437" s="3"/>
      <c r="BA437" s="3"/>
      <c r="BB437" s="3"/>
      <c r="BC437" s="3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3"/>
      <c r="AY438" s="3"/>
      <c r="AZ438" s="3"/>
      <c r="BA438" s="3"/>
      <c r="BB438" s="3"/>
      <c r="BC438" s="3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3"/>
      <c r="AY439" s="3"/>
      <c r="AZ439" s="3"/>
      <c r="BA439" s="3"/>
      <c r="BB439" s="3"/>
      <c r="BC439" s="3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3"/>
      <c r="AY440" s="3"/>
      <c r="AZ440" s="3"/>
      <c r="BA440" s="3"/>
      <c r="BB440" s="3"/>
      <c r="BC440" s="3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3"/>
      <c r="AY441" s="3"/>
      <c r="AZ441" s="3"/>
      <c r="BA441" s="3"/>
      <c r="BB441" s="3"/>
      <c r="BC441" s="3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3"/>
      <c r="AY442" s="3"/>
      <c r="AZ442" s="3"/>
      <c r="BA442" s="3"/>
      <c r="BB442" s="3"/>
      <c r="BC442" s="3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3"/>
      <c r="AY443" s="3"/>
      <c r="AZ443" s="3"/>
      <c r="BA443" s="3"/>
      <c r="BB443" s="3"/>
      <c r="BC443" s="3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3"/>
      <c r="AY444" s="3"/>
      <c r="AZ444" s="3"/>
      <c r="BA444" s="3"/>
      <c r="BB444" s="3"/>
      <c r="BC444" s="3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3"/>
      <c r="AY445" s="3"/>
      <c r="AZ445" s="3"/>
      <c r="BA445" s="3"/>
      <c r="BB445" s="3"/>
      <c r="BC445" s="3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3"/>
      <c r="AY446" s="3"/>
      <c r="AZ446" s="3"/>
      <c r="BA446" s="3"/>
      <c r="BB446" s="3"/>
      <c r="BC446" s="3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3"/>
      <c r="AY447" s="3"/>
      <c r="AZ447" s="3"/>
      <c r="BA447" s="3"/>
      <c r="BB447" s="3"/>
      <c r="BC447" s="3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3"/>
      <c r="AY448" s="3"/>
      <c r="AZ448" s="3"/>
      <c r="BA448" s="3"/>
      <c r="BB448" s="3"/>
      <c r="BC448" s="3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3"/>
      <c r="AY449" s="3"/>
      <c r="AZ449" s="3"/>
      <c r="BA449" s="3"/>
      <c r="BB449" s="3"/>
      <c r="BC449" s="3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3"/>
      <c r="AY450" s="3"/>
      <c r="AZ450" s="3"/>
      <c r="BA450" s="3"/>
      <c r="BB450" s="3"/>
      <c r="BC450" s="3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3"/>
      <c r="AY451" s="3"/>
      <c r="AZ451" s="3"/>
      <c r="BA451" s="3"/>
      <c r="BB451" s="3"/>
      <c r="BC451" s="3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3"/>
      <c r="AY452" s="3"/>
      <c r="AZ452" s="3"/>
      <c r="BA452" s="3"/>
      <c r="BB452" s="3"/>
      <c r="BC452" s="3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3"/>
      <c r="AY453" s="3"/>
      <c r="AZ453" s="3"/>
      <c r="BA453" s="3"/>
      <c r="BB453" s="3"/>
      <c r="BC453" s="3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3"/>
      <c r="AY454" s="3"/>
      <c r="AZ454" s="3"/>
      <c r="BA454" s="3"/>
      <c r="BB454" s="3"/>
      <c r="BC454" s="3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3"/>
      <c r="AY455" s="3"/>
      <c r="AZ455" s="3"/>
      <c r="BA455" s="3"/>
      <c r="BB455" s="3"/>
      <c r="BC455" s="3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3"/>
      <c r="AY456" s="3"/>
      <c r="AZ456" s="3"/>
      <c r="BA456" s="3"/>
      <c r="BB456" s="3"/>
      <c r="BC456" s="3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3"/>
      <c r="AY457" s="3"/>
      <c r="AZ457" s="3"/>
      <c r="BA457" s="3"/>
      <c r="BB457" s="3"/>
      <c r="BC457" s="3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3"/>
      <c r="AY458" s="3"/>
      <c r="AZ458" s="3"/>
      <c r="BA458" s="3"/>
      <c r="BB458" s="3"/>
      <c r="BC458" s="3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"/>
      <c r="AY459" s="3"/>
      <c r="AZ459" s="3"/>
      <c r="BA459" s="3"/>
      <c r="BB459" s="3"/>
      <c r="BC459" s="3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3"/>
      <c r="AY460" s="3"/>
      <c r="AZ460" s="3"/>
      <c r="BA460" s="3"/>
      <c r="BB460" s="3"/>
      <c r="BC460" s="3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3"/>
      <c r="AY461" s="3"/>
      <c r="AZ461" s="3"/>
      <c r="BA461" s="3"/>
      <c r="BB461" s="3"/>
      <c r="BC461" s="3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3"/>
      <c r="AY462" s="3"/>
      <c r="AZ462" s="3"/>
      <c r="BA462" s="3"/>
      <c r="BB462" s="3"/>
      <c r="BC462" s="3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3"/>
      <c r="AY463" s="3"/>
      <c r="AZ463" s="3"/>
      <c r="BA463" s="3"/>
      <c r="BB463" s="3"/>
      <c r="BC463" s="3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3"/>
      <c r="AY464" s="3"/>
      <c r="AZ464" s="3"/>
      <c r="BA464" s="3"/>
      <c r="BB464" s="3"/>
      <c r="BC464" s="3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3"/>
      <c r="AY465" s="3"/>
      <c r="AZ465" s="3"/>
      <c r="BA465" s="3"/>
      <c r="BB465" s="3"/>
      <c r="BC465" s="3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3"/>
      <c r="AY466" s="3"/>
      <c r="AZ466" s="3"/>
      <c r="BA466" s="3"/>
      <c r="BB466" s="3"/>
      <c r="BC466" s="3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3"/>
      <c r="AY467" s="3"/>
      <c r="AZ467" s="3"/>
      <c r="BA467" s="3"/>
      <c r="BB467" s="3"/>
      <c r="BC467" s="3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3"/>
      <c r="AY468" s="3"/>
      <c r="AZ468" s="3"/>
      <c r="BA468" s="3"/>
      <c r="BB468" s="3"/>
      <c r="BC468" s="3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3"/>
      <c r="AY469" s="3"/>
      <c r="AZ469" s="3"/>
      <c r="BA469" s="3"/>
      <c r="BB469" s="3"/>
      <c r="BC469" s="3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3"/>
      <c r="AY470" s="3"/>
      <c r="AZ470" s="3"/>
      <c r="BA470" s="3"/>
      <c r="BB470" s="3"/>
      <c r="BC470" s="3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3"/>
      <c r="AY471" s="3"/>
      <c r="AZ471" s="3"/>
      <c r="BA471" s="3"/>
      <c r="BB471" s="3"/>
      <c r="BC471" s="3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3"/>
      <c r="AY472" s="3"/>
      <c r="AZ472" s="3"/>
      <c r="BA472" s="3"/>
      <c r="BB472" s="3"/>
      <c r="BC472" s="3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3"/>
      <c r="AY473" s="3"/>
      <c r="AZ473" s="3"/>
      <c r="BA473" s="3"/>
      <c r="BB473" s="3"/>
      <c r="BC473" s="3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3"/>
      <c r="AY474" s="3"/>
      <c r="AZ474" s="3"/>
      <c r="BA474" s="3"/>
      <c r="BB474" s="3"/>
      <c r="BC474" s="3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3"/>
      <c r="AY475" s="3"/>
      <c r="AZ475" s="3"/>
      <c r="BA475" s="3"/>
      <c r="BB475" s="3"/>
      <c r="BC475" s="3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3"/>
      <c r="AY476" s="3"/>
      <c r="AZ476" s="3"/>
      <c r="BA476" s="3"/>
      <c r="BB476" s="3"/>
      <c r="BC476" s="3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3"/>
      <c r="AY477" s="3"/>
      <c r="AZ477" s="3"/>
      <c r="BA477" s="3"/>
      <c r="BB477" s="3"/>
      <c r="BC477" s="3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3"/>
      <c r="AY478" s="3"/>
      <c r="AZ478" s="3"/>
      <c r="BA478" s="3"/>
      <c r="BB478" s="3"/>
      <c r="BC478" s="3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3"/>
      <c r="AY479" s="3"/>
      <c r="AZ479" s="3"/>
      <c r="BA479" s="3"/>
      <c r="BB479" s="3"/>
      <c r="BC479" s="3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3"/>
      <c r="AY480" s="3"/>
      <c r="AZ480" s="3"/>
      <c r="BA480" s="3"/>
      <c r="BB480" s="3"/>
      <c r="BC480" s="3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3"/>
      <c r="AY481" s="3"/>
      <c r="AZ481" s="3"/>
      <c r="BA481" s="3"/>
      <c r="BB481" s="3"/>
      <c r="BC481" s="3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3"/>
      <c r="AY482" s="3"/>
      <c r="AZ482" s="3"/>
      <c r="BA482" s="3"/>
      <c r="BB482" s="3"/>
      <c r="BC482" s="3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3"/>
      <c r="AY483" s="3"/>
      <c r="AZ483" s="3"/>
      <c r="BA483" s="3"/>
      <c r="BB483" s="3"/>
      <c r="BC483" s="3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3"/>
      <c r="AY484" s="3"/>
      <c r="AZ484" s="3"/>
      <c r="BA484" s="3"/>
      <c r="BB484" s="3"/>
      <c r="BC484" s="3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3"/>
      <c r="AY485" s="3"/>
      <c r="AZ485" s="3"/>
      <c r="BA485" s="3"/>
      <c r="BB485" s="3"/>
      <c r="BC485" s="3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3"/>
      <c r="AY486" s="3"/>
      <c r="AZ486" s="3"/>
      <c r="BA486" s="3"/>
      <c r="BB486" s="3"/>
      <c r="BC486" s="3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3"/>
      <c r="AY487" s="3"/>
      <c r="AZ487" s="3"/>
      <c r="BA487" s="3"/>
      <c r="BB487" s="3"/>
      <c r="BC487" s="3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3"/>
      <c r="AY488" s="3"/>
      <c r="AZ488" s="3"/>
      <c r="BA488" s="3"/>
      <c r="BB488" s="3"/>
      <c r="BC488" s="3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3"/>
      <c r="AY489" s="3"/>
      <c r="AZ489" s="3"/>
      <c r="BA489" s="3"/>
      <c r="BB489" s="3"/>
      <c r="BC489" s="3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3"/>
      <c r="AY490" s="3"/>
      <c r="AZ490" s="3"/>
      <c r="BA490" s="3"/>
      <c r="BB490" s="3"/>
      <c r="BC490" s="3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3"/>
      <c r="AY491" s="3"/>
      <c r="AZ491" s="3"/>
      <c r="BA491" s="3"/>
      <c r="BB491" s="3"/>
      <c r="BC491" s="3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3"/>
      <c r="AY492" s="3"/>
      <c r="AZ492" s="3"/>
      <c r="BA492" s="3"/>
      <c r="BB492" s="3"/>
      <c r="BC492" s="3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3"/>
      <c r="AY493" s="3"/>
      <c r="AZ493" s="3"/>
      <c r="BA493" s="3"/>
      <c r="BB493" s="3"/>
      <c r="BC493" s="3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3"/>
      <c r="AY494" s="3"/>
      <c r="AZ494" s="3"/>
      <c r="BA494" s="3"/>
      <c r="BB494" s="3"/>
      <c r="BC494" s="3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3"/>
      <c r="AY495" s="3"/>
      <c r="AZ495" s="3"/>
      <c r="BA495" s="3"/>
      <c r="BB495" s="3"/>
      <c r="BC495" s="3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3"/>
      <c r="AY496" s="3"/>
      <c r="AZ496" s="3"/>
      <c r="BA496" s="3"/>
      <c r="BB496" s="3"/>
      <c r="BC496" s="3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3"/>
      <c r="AY497" s="3"/>
      <c r="AZ497" s="3"/>
      <c r="BA497" s="3"/>
      <c r="BB497" s="3"/>
      <c r="BC497" s="3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3"/>
      <c r="AY498" s="3"/>
      <c r="AZ498" s="3"/>
      <c r="BA498" s="3"/>
      <c r="BB498" s="3"/>
      <c r="BC498" s="3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3"/>
      <c r="AY499" s="3"/>
      <c r="AZ499" s="3"/>
      <c r="BA499" s="3"/>
      <c r="BB499" s="3"/>
      <c r="BC499" s="3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3"/>
      <c r="AY500" s="3"/>
      <c r="AZ500" s="3"/>
      <c r="BA500" s="3"/>
      <c r="BB500" s="3"/>
      <c r="BC500" s="3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3"/>
      <c r="AY501" s="3"/>
      <c r="AZ501" s="3"/>
      <c r="BA501" s="3"/>
      <c r="BB501" s="3"/>
      <c r="BC501" s="3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3"/>
      <c r="AY502" s="3"/>
      <c r="AZ502" s="3"/>
      <c r="BA502" s="3"/>
      <c r="BB502" s="3"/>
      <c r="BC502" s="3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3"/>
      <c r="AY503" s="3"/>
      <c r="AZ503" s="3"/>
      <c r="BA503" s="3"/>
      <c r="BB503" s="3"/>
      <c r="BC503" s="3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3"/>
      <c r="AY504" s="3"/>
      <c r="AZ504" s="3"/>
      <c r="BA504" s="3"/>
      <c r="BB504" s="3"/>
      <c r="BC504" s="3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3"/>
      <c r="AY505" s="3"/>
      <c r="AZ505" s="3"/>
      <c r="BA505" s="3"/>
      <c r="BB505" s="3"/>
      <c r="BC505" s="3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3"/>
      <c r="AY506" s="3"/>
      <c r="AZ506" s="3"/>
      <c r="BA506" s="3"/>
      <c r="BB506" s="3"/>
      <c r="BC506" s="3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3"/>
      <c r="AY507" s="3"/>
      <c r="AZ507" s="3"/>
      <c r="BA507" s="3"/>
      <c r="BB507" s="3"/>
      <c r="BC507" s="3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3"/>
      <c r="AY508" s="3"/>
      <c r="AZ508" s="3"/>
      <c r="BA508" s="3"/>
      <c r="BB508" s="3"/>
      <c r="BC508" s="3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3"/>
      <c r="AY509" s="3"/>
      <c r="AZ509" s="3"/>
      <c r="BA509" s="3"/>
      <c r="BB509" s="3"/>
      <c r="BC509" s="3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3"/>
      <c r="AY510" s="3"/>
      <c r="AZ510" s="3"/>
      <c r="BA510" s="3"/>
      <c r="BB510" s="3"/>
      <c r="BC510" s="3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3"/>
      <c r="AY511" s="3"/>
      <c r="AZ511" s="3"/>
      <c r="BA511" s="3"/>
      <c r="BB511" s="3"/>
      <c r="BC511" s="3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3"/>
      <c r="AY512" s="3"/>
      <c r="AZ512" s="3"/>
      <c r="BA512" s="3"/>
      <c r="BB512" s="3"/>
      <c r="BC512" s="3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3"/>
      <c r="AY513" s="3"/>
      <c r="AZ513" s="3"/>
      <c r="BA513" s="3"/>
      <c r="BB513" s="3"/>
      <c r="BC513" s="3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3"/>
      <c r="AY514" s="3"/>
      <c r="AZ514" s="3"/>
      <c r="BA514" s="3"/>
      <c r="BB514" s="3"/>
      <c r="BC514" s="3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3"/>
      <c r="AY515" s="3"/>
      <c r="AZ515" s="3"/>
      <c r="BA515" s="3"/>
      <c r="BB515" s="3"/>
      <c r="BC515" s="3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3"/>
      <c r="AY516" s="3"/>
      <c r="AZ516" s="3"/>
      <c r="BA516" s="3"/>
      <c r="BB516" s="3"/>
      <c r="BC516" s="3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3"/>
      <c r="AY517" s="3"/>
      <c r="AZ517" s="3"/>
      <c r="BA517" s="3"/>
      <c r="BB517" s="3"/>
      <c r="BC517" s="3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3"/>
      <c r="AY518" s="3"/>
      <c r="AZ518" s="3"/>
      <c r="BA518" s="3"/>
      <c r="BB518" s="3"/>
      <c r="BC518" s="3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3"/>
      <c r="AY519" s="3"/>
      <c r="AZ519" s="3"/>
      <c r="BA519" s="3"/>
      <c r="BB519" s="3"/>
      <c r="BC519" s="3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3"/>
      <c r="AY520" s="3"/>
      <c r="AZ520" s="3"/>
      <c r="BA520" s="3"/>
      <c r="BB520" s="3"/>
      <c r="BC520" s="3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3"/>
      <c r="AY521" s="3"/>
      <c r="AZ521" s="3"/>
      <c r="BA521" s="3"/>
      <c r="BB521" s="3"/>
      <c r="BC521" s="3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3"/>
      <c r="AY522" s="3"/>
      <c r="AZ522" s="3"/>
      <c r="BA522" s="3"/>
      <c r="BB522" s="3"/>
      <c r="BC522" s="3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3"/>
      <c r="AY523" s="3"/>
      <c r="AZ523" s="3"/>
      <c r="BA523" s="3"/>
      <c r="BB523" s="3"/>
      <c r="BC523" s="3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3"/>
      <c r="AY524" s="3"/>
      <c r="AZ524" s="3"/>
      <c r="BA524" s="3"/>
      <c r="BB524" s="3"/>
      <c r="BC524" s="3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3"/>
      <c r="AY525" s="3"/>
      <c r="AZ525" s="3"/>
      <c r="BA525" s="3"/>
      <c r="BB525" s="3"/>
      <c r="BC525" s="3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3"/>
      <c r="AY526" s="3"/>
      <c r="AZ526" s="3"/>
      <c r="BA526" s="3"/>
      <c r="BB526" s="3"/>
      <c r="BC526" s="3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3"/>
      <c r="AY527" s="3"/>
      <c r="AZ527" s="3"/>
      <c r="BA527" s="3"/>
      <c r="BB527" s="3"/>
      <c r="BC527" s="3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3"/>
      <c r="AY528" s="3"/>
      <c r="AZ528" s="3"/>
      <c r="BA528" s="3"/>
      <c r="BB528" s="3"/>
      <c r="BC528" s="3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3"/>
      <c r="AY529" s="3"/>
      <c r="AZ529" s="3"/>
      <c r="BA529" s="3"/>
      <c r="BB529" s="3"/>
      <c r="BC529" s="3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3"/>
      <c r="AY530" s="3"/>
      <c r="AZ530" s="3"/>
      <c r="BA530" s="3"/>
      <c r="BB530" s="3"/>
      <c r="BC530" s="3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3"/>
      <c r="AY531" s="3"/>
      <c r="AZ531" s="3"/>
      <c r="BA531" s="3"/>
      <c r="BB531" s="3"/>
      <c r="BC531" s="3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3"/>
      <c r="AY532" s="3"/>
      <c r="AZ532" s="3"/>
      <c r="BA532" s="3"/>
      <c r="BB532" s="3"/>
      <c r="BC532" s="3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3"/>
      <c r="AY533" s="3"/>
      <c r="AZ533" s="3"/>
      <c r="BA533" s="3"/>
      <c r="BB533" s="3"/>
      <c r="BC533" s="3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3"/>
      <c r="AY534" s="3"/>
      <c r="AZ534" s="3"/>
      <c r="BA534" s="3"/>
      <c r="BB534" s="3"/>
      <c r="BC534" s="3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3"/>
      <c r="AY535" s="3"/>
      <c r="AZ535" s="3"/>
      <c r="BA535" s="3"/>
      <c r="BB535" s="3"/>
      <c r="BC535" s="3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3"/>
      <c r="AY536" s="3"/>
      <c r="AZ536" s="3"/>
      <c r="BA536" s="3"/>
      <c r="BB536" s="3"/>
      <c r="BC536" s="3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3"/>
      <c r="AY537" s="3"/>
      <c r="AZ537" s="3"/>
      <c r="BA537" s="3"/>
      <c r="BB537" s="3"/>
      <c r="BC537" s="3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3"/>
      <c r="AY538" s="3"/>
      <c r="AZ538" s="3"/>
      <c r="BA538" s="3"/>
      <c r="BB538" s="3"/>
      <c r="BC538" s="3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3"/>
      <c r="AY539" s="3"/>
      <c r="AZ539" s="3"/>
      <c r="BA539" s="3"/>
      <c r="BB539" s="3"/>
      <c r="BC539" s="3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3"/>
      <c r="AY540" s="3"/>
      <c r="AZ540" s="3"/>
      <c r="BA540" s="3"/>
      <c r="BB540" s="3"/>
      <c r="BC540" s="3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3"/>
      <c r="AY541" s="3"/>
      <c r="AZ541" s="3"/>
      <c r="BA541" s="3"/>
      <c r="BB541" s="3"/>
      <c r="BC541" s="3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3"/>
      <c r="AY542" s="3"/>
      <c r="AZ542" s="3"/>
      <c r="BA542" s="3"/>
      <c r="BB542" s="3"/>
      <c r="BC542" s="3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3"/>
      <c r="AY543" s="3"/>
      <c r="AZ543" s="3"/>
      <c r="BA543" s="3"/>
      <c r="BB543" s="3"/>
      <c r="BC543" s="3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3"/>
      <c r="AY544" s="3"/>
      <c r="AZ544" s="3"/>
      <c r="BA544" s="3"/>
      <c r="BB544" s="3"/>
      <c r="BC544" s="3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3"/>
      <c r="AY545" s="3"/>
      <c r="AZ545" s="3"/>
      <c r="BA545" s="3"/>
      <c r="BB545" s="3"/>
      <c r="BC545" s="3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3"/>
      <c r="AY546" s="3"/>
      <c r="AZ546" s="3"/>
      <c r="BA546" s="3"/>
      <c r="BB546" s="3"/>
      <c r="BC546" s="3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3"/>
      <c r="AY547" s="3"/>
      <c r="AZ547" s="3"/>
      <c r="BA547" s="3"/>
      <c r="BB547" s="3"/>
      <c r="BC547" s="3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3"/>
      <c r="AY548" s="3"/>
      <c r="AZ548" s="3"/>
      <c r="BA548" s="3"/>
      <c r="BB548" s="3"/>
      <c r="BC548" s="3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3"/>
      <c r="AY549" s="3"/>
      <c r="AZ549" s="3"/>
      <c r="BA549" s="3"/>
      <c r="BB549" s="3"/>
      <c r="BC549" s="3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3"/>
      <c r="AY550" s="3"/>
      <c r="AZ550" s="3"/>
      <c r="BA550" s="3"/>
      <c r="BB550" s="3"/>
      <c r="BC550" s="3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3"/>
      <c r="AY551" s="3"/>
      <c r="AZ551" s="3"/>
      <c r="BA551" s="3"/>
      <c r="BB551" s="3"/>
      <c r="BC551" s="3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3"/>
      <c r="AY552" s="3"/>
      <c r="AZ552" s="3"/>
      <c r="BA552" s="3"/>
      <c r="BB552" s="3"/>
      <c r="BC552" s="3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3"/>
      <c r="AY553" s="3"/>
      <c r="AZ553" s="3"/>
      <c r="BA553" s="3"/>
      <c r="BB553" s="3"/>
      <c r="BC553" s="3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3"/>
      <c r="AY554" s="3"/>
      <c r="AZ554" s="3"/>
      <c r="BA554" s="3"/>
      <c r="BB554" s="3"/>
      <c r="BC554" s="3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3"/>
      <c r="AY555" s="3"/>
      <c r="AZ555" s="3"/>
      <c r="BA555" s="3"/>
      <c r="BB555" s="3"/>
      <c r="BC555" s="3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3"/>
      <c r="AY556" s="3"/>
      <c r="AZ556" s="3"/>
      <c r="BA556" s="3"/>
      <c r="BB556" s="3"/>
      <c r="BC556" s="3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3"/>
      <c r="AY557" s="3"/>
      <c r="AZ557" s="3"/>
      <c r="BA557" s="3"/>
      <c r="BB557" s="3"/>
      <c r="BC557" s="3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3"/>
      <c r="AY558" s="3"/>
      <c r="AZ558" s="3"/>
      <c r="BA558" s="3"/>
      <c r="BB558" s="3"/>
      <c r="BC558" s="3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3"/>
      <c r="AY559" s="3"/>
      <c r="AZ559" s="3"/>
      <c r="BA559" s="3"/>
      <c r="BB559" s="3"/>
      <c r="BC559" s="3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3"/>
      <c r="AY560" s="3"/>
      <c r="AZ560" s="3"/>
      <c r="BA560" s="3"/>
      <c r="BB560" s="3"/>
      <c r="BC560" s="3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3"/>
      <c r="AY561" s="3"/>
      <c r="AZ561" s="3"/>
      <c r="BA561" s="3"/>
      <c r="BB561" s="3"/>
      <c r="BC561" s="3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3"/>
      <c r="AY562" s="3"/>
      <c r="AZ562" s="3"/>
      <c r="BA562" s="3"/>
      <c r="BB562" s="3"/>
      <c r="BC562" s="3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3"/>
      <c r="AY563" s="3"/>
      <c r="AZ563" s="3"/>
      <c r="BA563" s="3"/>
      <c r="BB563" s="3"/>
      <c r="BC563" s="3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3"/>
      <c r="AY564" s="3"/>
      <c r="AZ564" s="3"/>
      <c r="BA564" s="3"/>
      <c r="BB564" s="3"/>
      <c r="BC564" s="3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3"/>
      <c r="AY565" s="3"/>
      <c r="AZ565" s="3"/>
      <c r="BA565" s="3"/>
      <c r="BB565" s="3"/>
      <c r="BC565" s="3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3"/>
      <c r="AY566" s="3"/>
      <c r="AZ566" s="3"/>
      <c r="BA566" s="3"/>
      <c r="BB566" s="3"/>
      <c r="BC566" s="3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3"/>
      <c r="AY567" s="3"/>
      <c r="AZ567" s="3"/>
      <c r="BA567" s="3"/>
      <c r="BB567" s="3"/>
      <c r="BC567" s="3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3"/>
      <c r="AY568" s="3"/>
      <c r="AZ568" s="3"/>
      <c r="BA568" s="3"/>
      <c r="BB568" s="3"/>
      <c r="BC568" s="3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3"/>
      <c r="AY569" s="3"/>
      <c r="AZ569" s="3"/>
      <c r="BA569" s="3"/>
      <c r="BB569" s="3"/>
      <c r="BC569" s="3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3"/>
      <c r="AY570" s="3"/>
      <c r="AZ570" s="3"/>
      <c r="BA570" s="3"/>
      <c r="BB570" s="3"/>
      <c r="BC570" s="3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3"/>
      <c r="AY571" s="3"/>
      <c r="AZ571" s="3"/>
      <c r="BA571" s="3"/>
      <c r="BB571" s="3"/>
      <c r="BC571" s="3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3"/>
      <c r="AY572" s="3"/>
      <c r="AZ572" s="3"/>
      <c r="BA572" s="3"/>
      <c r="BB572" s="3"/>
      <c r="BC572" s="3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3"/>
      <c r="AY573" s="3"/>
      <c r="AZ573" s="3"/>
      <c r="BA573" s="3"/>
      <c r="BB573" s="3"/>
      <c r="BC573" s="3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3"/>
      <c r="AY574" s="3"/>
      <c r="AZ574" s="3"/>
      <c r="BA574" s="3"/>
      <c r="BB574" s="3"/>
      <c r="BC574" s="3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3"/>
      <c r="AY575" s="3"/>
      <c r="AZ575" s="3"/>
      <c r="BA575" s="3"/>
      <c r="BB575" s="3"/>
      <c r="BC575" s="3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3"/>
      <c r="AY576" s="3"/>
      <c r="AZ576" s="3"/>
      <c r="BA576" s="3"/>
      <c r="BB576" s="3"/>
      <c r="BC576" s="3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3"/>
      <c r="AY577" s="3"/>
      <c r="AZ577" s="3"/>
      <c r="BA577" s="3"/>
      <c r="BB577" s="3"/>
      <c r="BC577" s="3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3"/>
      <c r="AY578" s="3"/>
      <c r="AZ578" s="3"/>
      <c r="BA578" s="3"/>
      <c r="BB578" s="3"/>
      <c r="BC578" s="3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3"/>
      <c r="AY579" s="3"/>
      <c r="AZ579" s="3"/>
      <c r="BA579" s="3"/>
      <c r="BB579" s="3"/>
      <c r="BC579" s="3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3"/>
      <c r="AY580" s="3"/>
      <c r="AZ580" s="3"/>
      <c r="BA580" s="3"/>
      <c r="BB580" s="3"/>
      <c r="BC580" s="3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3"/>
      <c r="AY581" s="3"/>
      <c r="AZ581" s="3"/>
      <c r="BA581" s="3"/>
      <c r="BB581" s="3"/>
      <c r="BC581" s="3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3"/>
      <c r="AY582" s="3"/>
      <c r="AZ582" s="3"/>
      <c r="BA582" s="3"/>
      <c r="BB582" s="3"/>
      <c r="BC582" s="3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3"/>
      <c r="AY583" s="3"/>
      <c r="AZ583" s="3"/>
      <c r="BA583" s="3"/>
      <c r="BB583" s="3"/>
      <c r="BC583" s="3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3"/>
      <c r="AY584" s="3"/>
      <c r="AZ584" s="3"/>
      <c r="BA584" s="3"/>
      <c r="BB584" s="3"/>
      <c r="BC584" s="3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3"/>
      <c r="AY585" s="3"/>
      <c r="AZ585" s="3"/>
      <c r="BA585" s="3"/>
      <c r="BB585" s="3"/>
      <c r="BC585" s="3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3"/>
      <c r="AY586" s="3"/>
      <c r="AZ586" s="3"/>
      <c r="BA586" s="3"/>
      <c r="BB586" s="3"/>
      <c r="BC586" s="3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3"/>
      <c r="AY587" s="3"/>
      <c r="AZ587" s="3"/>
      <c r="BA587" s="3"/>
      <c r="BB587" s="3"/>
      <c r="BC587" s="3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3"/>
      <c r="AY588" s="3"/>
      <c r="AZ588" s="3"/>
      <c r="BA588" s="3"/>
      <c r="BB588" s="3"/>
      <c r="BC588" s="3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3"/>
      <c r="AY589" s="3"/>
      <c r="AZ589" s="3"/>
      <c r="BA589" s="3"/>
      <c r="BB589" s="3"/>
      <c r="BC589" s="3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3"/>
      <c r="AY590" s="3"/>
      <c r="AZ590" s="3"/>
      <c r="BA590" s="3"/>
      <c r="BB590" s="3"/>
      <c r="BC590" s="3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3"/>
      <c r="AY591" s="3"/>
      <c r="AZ591" s="3"/>
      <c r="BA591" s="3"/>
      <c r="BB591" s="3"/>
      <c r="BC591" s="3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3"/>
      <c r="AY592" s="3"/>
      <c r="AZ592" s="3"/>
      <c r="BA592" s="3"/>
      <c r="BB592" s="3"/>
      <c r="BC592" s="3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3"/>
      <c r="AY593" s="3"/>
      <c r="AZ593" s="3"/>
      <c r="BA593" s="3"/>
      <c r="BB593" s="3"/>
      <c r="BC593" s="3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3"/>
      <c r="AY594" s="3"/>
      <c r="AZ594" s="3"/>
      <c r="BA594" s="3"/>
      <c r="BB594" s="3"/>
      <c r="BC594" s="3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3"/>
      <c r="AY595" s="3"/>
      <c r="AZ595" s="3"/>
      <c r="BA595" s="3"/>
      <c r="BB595" s="3"/>
      <c r="BC595" s="3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3"/>
      <c r="AY596" s="3"/>
      <c r="AZ596" s="3"/>
      <c r="BA596" s="3"/>
      <c r="BB596" s="3"/>
      <c r="BC596" s="3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3"/>
      <c r="AY597" s="3"/>
      <c r="AZ597" s="3"/>
      <c r="BA597" s="3"/>
      <c r="BB597" s="3"/>
      <c r="BC597" s="3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3"/>
      <c r="AY598" s="3"/>
      <c r="AZ598" s="3"/>
      <c r="BA598" s="3"/>
      <c r="BB598" s="3"/>
      <c r="BC598" s="3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3"/>
      <c r="AY599" s="3"/>
      <c r="AZ599" s="3"/>
      <c r="BA599" s="3"/>
      <c r="BB599" s="3"/>
      <c r="BC599" s="3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3"/>
      <c r="AY600" s="3"/>
      <c r="AZ600" s="3"/>
      <c r="BA600" s="3"/>
      <c r="BB600" s="3"/>
      <c r="BC600" s="3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3"/>
      <c r="AY601" s="3"/>
      <c r="AZ601" s="3"/>
      <c r="BA601" s="3"/>
      <c r="BB601" s="3"/>
      <c r="BC601" s="3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3"/>
      <c r="AY602" s="3"/>
      <c r="AZ602" s="3"/>
      <c r="BA602" s="3"/>
      <c r="BB602" s="3"/>
      <c r="BC602" s="3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3"/>
      <c r="AY603" s="3"/>
      <c r="AZ603" s="3"/>
      <c r="BA603" s="3"/>
      <c r="BB603" s="3"/>
      <c r="BC603" s="3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3"/>
      <c r="AY604" s="3"/>
      <c r="AZ604" s="3"/>
      <c r="BA604" s="3"/>
      <c r="BB604" s="3"/>
      <c r="BC604" s="3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3"/>
      <c r="AY605" s="3"/>
      <c r="AZ605" s="3"/>
      <c r="BA605" s="3"/>
      <c r="BB605" s="3"/>
      <c r="BC605" s="3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3"/>
      <c r="AY606" s="3"/>
      <c r="AZ606" s="3"/>
      <c r="BA606" s="3"/>
      <c r="BB606" s="3"/>
      <c r="BC606" s="3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3"/>
      <c r="AY607" s="3"/>
      <c r="AZ607" s="3"/>
      <c r="BA607" s="3"/>
      <c r="BB607" s="3"/>
      <c r="BC607" s="3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3"/>
      <c r="AY608" s="3"/>
      <c r="AZ608" s="3"/>
      <c r="BA608" s="3"/>
      <c r="BB608" s="3"/>
      <c r="BC608" s="3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3"/>
      <c r="AY609" s="3"/>
      <c r="AZ609" s="3"/>
      <c r="BA609" s="3"/>
      <c r="BB609" s="3"/>
      <c r="BC609" s="3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3"/>
      <c r="AY610" s="3"/>
      <c r="AZ610" s="3"/>
      <c r="BA610" s="3"/>
      <c r="BB610" s="3"/>
      <c r="BC610" s="3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3"/>
      <c r="AY611" s="3"/>
      <c r="AZ611" s="3"/>
      <c r="BA611" s="3"/>
      <c r="BB611" s="3"/>
      <c r="BC611" s="3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3"/>
      <c r="AY612" s="3"/>
      <c r="AZ612" s="3"/>
      <c r="BA612" s="3"/>
      <c r="BB612" s="3"/>
      <c r="BC612" s="3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3"/>
      <c r="AY613" s="3"/>
      <c r="AZ613" s="3"/>
      <c r="BA613" s="3"/>
      <c r="BB613" s="3"/>
      <c r="BC613" s="3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3"/>
      <c r="AY614" s="3"/>
      <c r="AZ614" s="3"/>
      <c r="BA614" s="3"/>
      <c r="BB614" s="3"/>
      <c r="BC614" s="3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3"/>
      <c r="AY615" s="3"/>
      <c r="AZ615" s="3"/>
      <c r="BA615" s="3"/>
      <c r="BB615" s="3"/>
      <c r="BC615" s="3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3"/>
      <c r="AY616" s="3"/>
      <c r="AZ616" s="3"/>
      <c r="BA616" s="3"/>
      <c r="BB616" s="3"/>
      <c r="BC616" s="3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3"/>
      <c r="AY617" s="3"/>
      <c r="AZ617" s="3"/>
      <c r="BA617" s="3"/>
      <c r="BB617" s="3"/>
      <c r="BC617" s="3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3"/>
      <c r="AY618" s="3"/>
      <c r="AZ618" s="3"/>
      <c r="BA618" s="3"/>
      <c r="BB618" s="3"/>
      <c r="BC618" s="3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3"/>
      <c r="AY619" s="3"/>
      <c r="AZ619" s="3"/>
      <c r="BA619" s="3"/>
      <c r="BB619" s="3"/>
      <c r="BC619" s="3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3"/>
      <c r="AY620" s="3"/>
      <c r="AZ620" s="3"/>
      <c r="BA620" s="3"/>
      <c r="BB620" s="3"/>
      <c r="BC620" s="3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3"/>
      <c r="AY621" s="3"/>
      <c r="AZ621" s="3"/>
      <c r="BA621" s="3"/>
      <c r="BB621" s="3"/>
      <c r="BC621" s="3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3"/>
      <c r="AY622" s="3"/>
      <c r="AZ622" s="3"/>
      <c r="BA622" s="3"/>
      <c r="BB622" s="3"/>
      <c r="BC622" s="3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3"/>
      <c r="AY623" s="3"/>
      <c r="AZ623" s="3"/>
      <c r="BA623" s="3"/>
      <c r="BB623" s="3"/>
      <c r="BC623" s="3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3"/>
      <c r="AY624" s="3"/>
      <c r="AZ624" s="3"/>
      <c r="BA624" s="3"/>
      <c r="BB624" s="3"/>
      <c r="BC624" s="3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3"/>
      <c r="AY625" s="3"/>
      <c r="AZ625" s="3"/>
      <c r="BA625" s="3"/>
      <c r="BB625" s="3"/>
      <c r="BC625" s="3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3"/>
      <c r="AY626" s="3"/>
      <c r="AZ626" s="3"/>
      <c r="BA626" s="3"/>
      <c r="BB626" s="3"/>
      <c r="BC626" s="3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3"/>
      <c r="AY627" s="3"/>
      <c r="AZ627" s="3"/>
      <c r="BA627" s="3"/>
      <c r="BB627" s="3"/>
      <c r="BC627" s="3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3"/>
      <c r="AY628" s="3"/>
      <c r="AZ628" s="3"/>
      <c r="BA628" s="3"/>
      <c r="BB628" s="3"/>
      <c r="BC628" s="3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3"/>
      <c r="AY629" s="3"/>
      <c r="AZ629" s="3"/>
      <c r="BA629" s="3"/>
      <c r="BB629" s="3"/>
      <c r="BC629" s="3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3"/>
      <c r="AY630" s="3"/>
      <c r="AZ630" s="3"/>
      <c r="BA630" s="3"/>
      <c r="BB630" s="3"/>
      <c r="BC630" s="3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3"/>
      <c r="AY631" s="3"/>
      <c r="AZ631" s="3"/>
      <c r="BA631" s="3"/>
      <c r="BB631" s="3"/>
      <c r="BC631" s="3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3"/>
      <c r="AY632" s="3"/>
      <c r="AZ632" s="3"/>
      <c r="BA632" s="3"/>
      <c r="BB632" s="3"/>
      <c r="BC632" s="3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3"/>
      <c r="AY633" s="3"/>
      <c r="AZ633" s="3"/>
      <c r="BA633" s="3"/>
      <c r="BB633" s="3"/>
      <c r="BC633" s="3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3"/>
      <c r="AY634" s="3"/>
      <c r="AZ634" s="3"/>
      <c r="BA634" s="3"/>
      <c r="BB634" s="3"/>
      <c r="BC634" s="3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3"/>
      <c r="AY635" s="3"/>
      <c r="AZ635" s="3"/>
      <c r="BA635" s="3"/>
      <c r="BB635" s="3"/>
      <c r="BC635" s="3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3"/>
      <c r="AY636" s="3"/>
      <c r="AZ636" s="3"/>
      <c r="BA636" s="3"/>
      <c r="BB636" s="3"/>
      <c r="BC636" s="3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3"/>
      <c r="AY637" s="3"/>
      <c r="AZ637" s="3"/>
      <c r="BA637" s="3"/>
      <c r="BB637" s="3"/>
      <c r="BC637" s="3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3"/>
      <c r="AY638" s="3"/>
      <c r="AZ638" s="3"/>
      <c r="BA638" s="3"/>
      <c r="BB638" s="3"/>
      <c r="BC638" s="3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3"/>
      <c r="AY639" s="3"/>
      <c r="AZ639" s="3"/>
      <c r="BA639" s="3"/>
      <c r="BB639" s="3"/>
      <c r="BC639" s="3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3"/>
      <c r="AY640" s="3"/>
      <c r="AZ640" s="3"/>
      <c r="BA640" s="3"/>
      <c r="BB640" s="3"/>
      <c r="BC640" s="3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3"/>
      <c r="AY641" s="3"/>
      <c r="AZ641" s="3"/>
      <c r="BA641" s="3"/>
      <c r="BB641" s="3"/>
      <c r="BC641" s="3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3"/>
      <c r="AY642" s="3"/>
      <c r="AZ642" s="3"/>
      <c r="BA642" s="3"/>
      <c r="BB642" s="3"/>
      <c r="BC642" s="3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3"/>
      <c r="AY643" s="3"/>
      <c r="AZ643" s="3"/>
      <c r="BA643" s="3"/>
      <c r="BB643" s="3"/>
      <c r="BC643" s="3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3"/>
      <c r="AY644" s="3"/>
      <c r="AZ644" s="3"/>
      <c r="BA644" s="3"/>
      <c r="BB644" s="3"/>
      <c r="BC644" s="3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3"/>
      <c r="AY645" s="3"/>
      <c r="AZ645" s="3"/>
      <c r="BA645" s="3"/>
      <c r="BB645" s="3"/>
      <c r="BC645" s="3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3"/>
      <c r="AY646" s="3"/>
      <c r="AZ646" s="3"/>
      <c r="BA646" s="3"/>
      <c r="BB646" s="3"/>
      <c r="BC646" s="3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3"/>
      <c r="AY647" s="3"/>
      <c r="AZ647" s="3"/>
      <c r="BA647" s="3"/>
      <c r="BB647" s="3"/>
      <c r="BC647" s="3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3"/>
      <c r="AY648" s="3"/>
      <c r="AZ648" s="3"/>
      <c r="BA648" s="3"/>
      <c r="BB648" s="3"/>
      <c r="BC648" s="3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3"/>
      <c r="AY649" s="3"/>
      <c r="AZ649" s="3"/>
      <c r="BA649" s="3"/>
      <c r="BB649" s="3"/>
      <c r="BC649" s="3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3"/>
      <c r="AY650" s="3"/>
      <c r="AZ650" s="3"/>
      <c r="BA650" s="3"/>
      <c r="BB650" s="3"/>
      <c r="BC650" s="3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3"/>
      <c r="AY651" s="3"/>
      <c r="AZ651" s="3"/>
      <c r="BA651" s="3"/>
      <c r="BB651" s="3"/>
      <c r="BC651" s="3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3"/>
      <c r="AY652" s="3"/>
      <c r="AZ652" s="3"/>
      <c r="BA652" s="3"/>
      <c r="BB652" s="3"/>
      <c r="BC652" s="3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3"/>
      <c r="AY653" s="3"/>
      <c r="AZ653" s="3"/>
      <c r="BA653" s="3"/>
      <c r="BB653" s="3"/>
      <c r="BC653" s="3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3"/>
      <c r="AY654" s="3"/>
      <c r="AZ654" s="3"/>
      <c r="BA654" s="3"/>
      <c r="BB654" s="3"/>
      <c r="BC654" s="3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3"/>
      <c r="AY655" s="3"/>
      <c r="AZ655" s="3"/>
      <c r="BA655" s="3"/>
      <c r="BB655" s="3"/>
      <c r="BC655" s="3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3"/>
      <c r="AY656" s="3"/>
      <c r="AZ656" s="3"/>
      <c r="BA656" s="3"/>
      <c r="BB656" s="3"/>
      <c r="BC656" s="3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3"/>
      <c r="AY657" s="3"/>
      <c r="AZ657" s="3"/>
      <c r="BA657" s="3"/>
      <c r="BB657" s="3"/>
      <c r="BC657" s="3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3"/>
      <c r="AY658" s="3"/>
      <c r="AZ658" s="3"/>
      <c r="BA658" s="3"/>
      <c r="BB658" s="3"/>
      <c r="BC658" s="3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3"/>
      <c r="AY659" s="3"/>
      <c r="AZ659" s="3"/>
      <c r="BA659" s="3"/>
      <c r="BB659" s="3"/>
      <c r="BC659" s="3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3"/>
      <c r="AY660" s="3"/>
      <c r="AZ660" s="3"/>
      <c r="BA660" s="3"/>
      <c r="BB660" s="3"/>
      <c r="BC660" s="3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3"/>
      <c r="AY661" s="3"/>
      <c r="AZ661" s="3"/>
      <c r="BA661" s="3"/>
      <c r="BB661" s="3"/>
      <c r="BC661" s="3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3"/>
      <c r="AY662" s="3"/>
      <c r="AZ662" s="3"/>
      <c r="BA662" s="3"/>
      <c r="BB662" s="3"/>
      <c r="BC662" s="3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3"/>
      <c r="AY663" s="3"/>
      <c r="AZ663" s="3"/>
      <c r="BA663" s="3"/>
      <c r="BB663" s="3"/>
      <c r="BC663" s="3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3"/>
      <c r="AY664" s="3"/>
      <c r="AZ664" s="3"/>
      <c r="BA664" s="3"/>
      <c r="BB664" s="3"/>
      <c r="BC664" s="3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3"/>
      <c r="AY665" s="3"/>
      <c r="AZ665" s="3"/>
      <c r="BA665" s="3"/>
      <c r="BB665" s="3"/>
      <c r="BC665" s="3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3"/>
      <c r="AY666" s="3"/>
      <c r="AZ666" s="3"/>
      <c r="BA666" s="3"/>
      <c r="BB666" s="3"/>
      <c r="BC666" s="3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3"/>
      <c r="AY667" s="3"/>
      <c r="AZ667" s="3"/>
      <c r="BA667" s="3"/>
      <c r="BB667" s="3"/>
      <c r="BC667" s="3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3"/>
      <c r="AY668" s="3"/>
      <c r="AZ668" s="3"/>
      <c r="BA668" s="3"/>
      <c r="BB668" s="3"/>
      <c r="BC668" s="3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3"/>
      <c r="AY669" s="3"/>
      <c r="AZ669" s="3"/>
      <c r="BA669" s="3"/>
      <c r="BB669" s="3"/>
      <c r="BC669" s="3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3"/>
      <c r="AY670" s="3"/>
      <c r="AZ670" s="3"/>
      <c r="BA670" s="3"/>
      <c r="BB670" s="3"/>
      <c r="BC670" s="3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3"/>
      <c r="AY671" s="3"/>
      <c r="AZ671" s="3"/>
      <c r="BA671" s="3"/>
      <c r="BB671" s="3"/>
      <c r="BC671" s="3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3"/>
      <c r="AY672" s="3"/>
      <c r="AZ672" s="3"/>
      <c r="BA672" s="3"/>
      <c r="BB672" s="3"/>
      <c r="BC672" s="3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3"/>
      <c r="AY673" s="3"/>
      <c r="AZ673" s="3"/>
      <c r="BA673" s="3"/>
      <c r="BB673" s="3"/>
      <c r="BC673" s="3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3"/>
      <c r="AY674" s="3"/>
      <c r="AZ674" s="3"/>
      <c r="BA674" s="3"/>
      <c r="BB674" s="3"/>
      <c r="BC674" s="3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3"/>
      <c r="AY675" s="3"/>
      <c r="AZ675" s="3"/>
      <c r="BA675" s="3"/>
      <c r="BB675" s="3"/>
      <c r="BC675" s="3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3"/>
      <c r="AY676" s="3"/>
      <c r="AZ676" s="3"/>
      <c r="BA676" s="3"/>
      <c r="BB676" s="3"/>
      <c r="BC676" s="3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3"/>
      <c r="AY677" s="3"/>
      <c r="AZ677" s="3"/>
      <c r="BA677" s="3"/>
      <c r="BB677" s="3"/>
      <c r="BC677" s="3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3"/>
      <c r="AY678" s="3"/>
      <c r="AZ678" s="3"/>
      <c r="BA678" s="3"/>
      <c r="BB678" s="3"/>
      <c r="BC678" s="3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3"/>
      <c r="AY679" s="3"/>
      <c r="AZ679" s="3"/>
      <c r="BA679" s="3"/>
      <c r="BB679" s="3"/>
      <c r="BC679" s="3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3"/>
      <c r="AY680" s="3"/>
      <c r="AZ680" s="3"/>
      <c r="BA680" s="3"/>
      <c r="BB680" s="3"/>
      <c r="BC680" s="3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3"/>
      <c r="AY681" s="3"/>
      <c r="AZ681" s="3"/>
      <c r="BA681" s="3"/>
      <c r="BB681" s="3"/>
      <c r="BC681" s="3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3"/>
      <c r="AY682" s="3"/>
      <c r="AZ682" s="3"/>
      <c r="BA682" s="3"/>
      <c r="BB682" s="3"/>
      <c r="BC682" s="3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3"/>
      <c r="AY683" s="3"/>
      <c r="AZ683" s="3"/>
      <c r="BA683" s="3"/>
      <c r="BB683" s="3"/>
      <c r="BC683" s="3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3"/>
      <c r="AY684" s="3"/>
      <c r="AZ684" s="3"/>
      <c r="BA684" s="3"/>
      <c r="BB684" s="3"/>
      <c r="BC684" s="3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3"/>
      <c r="AY685" s="3"/>
      <c r="AZ685" s="3"/>
      <c r="BA685" s="3"/>
      <c r="BB685" s="3"/>
      <c r="BC685" s="3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3"/>
      <c r="AY686" s="3"/>
      <c r="AZ686" s="3"/>
      <c r="BA686" s="3"/>
      <c r="BB686" s="3"/>
      <c r="BC686" s="3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3"/>
      <c r="AY687" s="3"/>
      <c r="AZ687" s="3"/>
      <c r="BA687" s="3"/>
      <c r="BB687" s="3"/>
      <c r="BC687" s="3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3"/>
      <c r="AY688" s="3"/>
      <c r="AZ688" s="3"/>
      <c r="BA688" s="3"/>
      <c r="BB688" s="3"/>
      <c r="BC688" s="3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3"/>
      <c r="AY689" s="3"/>
      <c r="AZ689" s="3"/>
      <c r="BA689" s="3"/>
      <c r="BB689" s="3"/>
      <c r="BC689" s="3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3"/>
      <c r="AY690" s="3"/>
      <c r="AZ690" s="3"/>
      <c r="BA690" s="3"/>
      <c r="BB690" s="3"/>
      <c r="BC690" s="3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3"/>
      <c r="AY691" s="3"/>
      <c r="AZ691" s="3"/>
      <c r="BA691" s="3"/>
      <c r="BB691" s="3"/>
      <c r="BC691" s="3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3"/>
      <c r="AY692" s="3"/>
      <c r="AZ692" s="3"/>
      <c r="BA692" s="3"/>
      <c r="BB692" s="3"/>
      <c r="BC692" s="3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3"/>
      <c r="AY693" s="3"/>
      <c r="AZ693" s="3"/>
      <c r="BA693" s="3"/>
      <c r="BB693" s="3"/>
      <c r="BC693" s="3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3"/>
      <c r="AY694" s="3"/>
      <c r="AZ694" s="3"/>
      <c r="BA694" s="3"/>
      <c r="BB694" s="3"/>
      <c r="BC694" s="3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3"/>
      <c r="AY695" s="3"/>
      <c r="AZ695" s="3"/>
      <c r="BA695" s="3"/>
      <c r="BB695" s="3"/>
      <c r="BC695" s="3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3"/>
      <c r="AY696" s="3"/>
      <c r="AZ696" s="3"/>
      <c r="BA696" s="3"/>
      <c r="BB696" s="3"/>
      <c r="BC696" s="3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3"/>
      <c r="AY697" s="3"/>
      <c r="AZ697" s="3"/>
      <c r="BA697" s="3"/>
      <c r="BB697" s="3"/>
      <c r="BC697" s="3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3"/>
      <c r="AY698" s="3"/>
      <c r="AZ698" s="3"/>
      <c r="BA698" s="3"/>
      <c r="BB698" s="3"/>
      <c r="BC698" s="3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3"/>
      <c r="AY699" s="3"/>
      <c r="AZ699" s="3"/>
      <c r="BA699" s="3"/>
      <c r="BB699" s="3"/>
      <c r="BC699" s="3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3"/>
      <c r="AY700" s="3"/>
      <c r="AZ700" s="3"/>
      <c r="BA700" s="3"/>
      <c r="BB700" s="3"/>
      <c r="BC700" s="3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3"/>
      <c r="AY701" s="3"/>
      <c r="AZ701" s="3"/>
      <c r="BA701" s="3"/>
      <c r="BB701" s="3"/>
      <c r="BC701" s="3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3"/>
      <c r="AY702" s="3"/>
      <c r="AZ702" s="3"/>
      <c r="BA702" s="3"/>
      <c r="BB702" s="3"/>
      <c r="BC702" s="3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3"/>
      <c r="AY703" s="3"/>
      <c r="AZ703" s="3"/>
      <c r="BA703" s="3"/>
      <c r="BB703" s="3"/>
      <c r="BC703" s="3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3"/>
      <c r="AY704" s="3"/>
      <c r="AZ704" s="3"/>
      <c r="BA704" s="3"/>
      <c r="BB704" s="3"/>
      <c r="BC704" s="3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3"/>
      <c r="AY705" s="3"/>
      <c r="AZ705" s="3"/>
      <c r="BA705" s="3"/>
      <c r="BB705" s="3"/>
      <c r="BC705" s="3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3"/>
      <c r="AY706" s="3"/>
      <c r="AZ706" s="3"/>
      <c r="BA706" s="3"/>
      <c r="BB706" s="3"/>
      <c r="BC706" s="3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3"/>
      <c r="AY707" s="3"/>
      <c r="AZ707" s="3"/>
      <c r="BA707" s="3"/>
      <c r="BB707" s="3"/>
      <c r="BC707" s="3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3"/>
      <c r="AY708" s="3"/>
      <c r="AZ708" s="3"/>
      <c r="BA708" s="3"/>
      <c r="BB708" s="3"/>
      <c r="BC708" s="3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3"/>
      <c r="AY709" s="3"/>
      <c r="AZ709" s="3"/>
      <c r="BA709" s="3"/>
      <c r="BB709" s="3"/>
      <c r="BC709" s="3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3"/>
      <c r="AY710" s="3"/>
      <c r="AZ710" s="3"/>
      <c r="BA710" s="3"/>
      <c r="BB710" s="3"/>
      <c r="BC710" s="3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3"/>
      <c r="AY711" s="3"/>
      <c r="AZ711" s="3"/>
      <c r="BA711" s="3"/>
      <c r="BB711" s="3"/>
      <c r="BC711" s="3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3"/>
      <c r="AY712" s="3"/>
      <c r="AZ712" s="3"/>
      <c r="BA712" s="3"/>
      <c r="BB712" s="3"/>
      <c r="BC712" s="3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3"/>
      <c r="AY713" s="3"/>
      <c r="AZ713" s="3"/>
      <c r="BA713" s="3"/>
      <c r="BB713" s="3"/>
      <c r="BC713" s="3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3"/>
      <c r="AY714" s="3"/>
      <c r="AZ714" s="3"/>
      <c r="BA714" s="3"/>
      <c r="BB714" s="3"/>
      <c r="BC714" s="3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3"/>
      <c r="AY715" s="3"/>
      <c r="AZ715" s="3"/>
      <c r="BA715" s="3"/>
      <c r="BB715" s="3"/>
      <c r="BC715" s="3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3"/>
      <c r="AY716" s="3"/>
      <c r="AZ716" s="3"/>
      <c r="BA716" s="3"/>
      <c r="BB716" s="3"/>
      <c r="BC716" s="3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3"/>
      <c r="AY717" s="3"/>
      <c r="AZ717" s="3"/>
      <c r="BA717" s="3"/>
      <c r="BB717" s="3"/>
      <c r="BC717" s="3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3"/>
      <c r="AY718" s="3"/>
      <c r="AZ718" s="3"/>
      <c r="BA718" s="3"/>
      <c r="BB718" s="3"/>
      <c r="BC718" s="3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3"/>
      <c r="AY719" s="3"/>
      <c r="AZ719" s="3"/>
      <c r="BA719" s="3"/>
      <c r="BB719" s="3"/>
      <c r="BC719" s="3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3"/>
      <c r="AY720" s="3"/>
      <c r="AZ720" s="3"/>
      <c r="BA720" s="3"/>
      <c r="BB720" s="3"/>
      <c r="BC720" s="3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3"/>
      <c r="AY721" s="3"/>
      <c r="AZ721" s="3"/>
      <c r="BA721" s="3"/>
      <c r="BB721" s="3"/>
      <c r="BC721" s="3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3"/>
      <c r="AY722" s="3"/>
      <c r="AZ722" s="3"/>
      <c r="BA722" s="3"/>
      <c r="BB722" s="3"/>
      <c r="BC722" s="3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3"/>
      <c r="AY723" s="3"/>
      <c r="AZ723" s="3"/>
      <c r="BA723" s="3"/>
      <c r="BB723" s="3"/>
      <c r="BC723" s="3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3"/>
      <c r="AY724" s="3"/>
      <c r="AZ724" s="3"/>
      <c r="BA724" s="3"/>
      <c r="BB724" s="3"/>
      <c r="BC724" s="3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3"/>
      <c r="AY725" s="3"/>
      <c r="AZ725" s="3"/>
      <c r="BA725" s="3"/>
      <c r="BB725" s="3"/>
      <c r="BC725" s="3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3"/>
      <c r="AY726" s="3"/>
      <c r="AZ726" s="3"/>
      <c r="BA726" s="3"/>
      <c r="BB726" s="3"/>
      <c r="BC726" s="3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3"/>
      <c r="AY727" s="3"/>
      <c r="AZ727" s="3"/>
      <c r="BA727" s="3"/>
      <c r="BB727" s="3"/>
      <c r="BC727" s="3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3"/>
      <c r="AY728" s="3"/>
      <c r="AZ728" s="3"/>
      <c r="BA728" s="3"/>
      <c r="BB728" s="3"/>
      <c r="BC728" s="3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3"/>
      <c r="AY729" s="3"/>
      <c r="AZ729" s="3"/>
      <c r="BA729" s="3"/>
      <c r="BB729" s="3"/>
      <c r="BC729" s="3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3"/>
      <c r="AY730" s="3"/>
      <c r="AZ730" s="3"/>
      <c r="BA730" s="3"/>
      <c r="BB730" s="3"/>
      <c r="BC730" s="3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3"/>
      <c r="AY731" s="3"/>
      <c r="AZ731" s="3"/>
      <c r="BA731" s="3"/>
      <c r="BB731" s="3"/>
      <c r="BC731" s="3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3"/>
      <c r="AY732" s="3"/>
      <c r="AZ732" s="3"/>
      <c r="BA732" s="3"/>
      <c r="BB732" s="3"/>
      <c r="BC732" s="3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3"/>
      <c r="AY733" s="3"/>
      <c r="AZ733" s="3"/>
      <c r="BA733" s="3"/>
      <c r="BB733" s="3"/>
      <c r="BC733" s="3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3"/>
      <c r="AY734" s="3"/>
      <c r="AZ734" s="3"/>
      <c r="BA734" s="3"/>
      <c r="BB734" s="3"/>
      <c r="BC734" s="3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3"/>
      <c r="AY735" s="3"/>
      <c r="AZ735" s="3"/>
      <c r="BA735" s="3"/>
      <c r="BB735" s="3"/>
      <c r="BC735" s="3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3"/>
      <c r="AY736" s="3"/>
      <c r="AZ736" s="3"/>
      <c r="BA736" s="3"/>
      <c r="BB736" s="3"/>
      <c r="BC736" s="3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3"/>
      <c r="AY737" s="3"/>
      <c r="AZ737" s="3"/>
      <c r="BA737" s="3"/>
      <c r="BB737" s="3"/>
      <c r="BC737" s="3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3"/>
      <c r="AY738" s="3"/>
      <c r="AZ738" s="3"/>
      <c r="BA738" s="3"/>
      <c r="BB738" s="3"/>
      <c r="BC738" s="3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3"/>
      <c r="AY739" s="3"/>
      <c r="AZ739" s="3"/>
      <c r="BA739" s="3"/>
      <c r="BB739" s="3"/>
      <c r="BC739" s="3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3"/>
      <c r="AY740" s="3"/>
      <c r="AZ740" s="3"/>
      <c r="BA740" s="3"/>
      <c r="BB740" s="3"/>
      <c r="BC740" s="3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3"/>
      <c r="AY741" s="3"/>
      <c r="AZ741" s="3"/>
      <c r="BA741" s="3"/>
      <c r="BB741" s="3"/>
      <c r="BC741" s="3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3"/>
      <c r="AY742" s="3"/>
      <c r="AZ742" s="3"/>
      <c r="BA742" s="3"/>
      <c r="BB742" s="3"/>
      <c r="BC742" s="3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3"/>
      <c r="AY743" s="3"/>
      <c r="AZ743" s="3"/>
      <c r="BA743" s="3"/>
      <c r="BB743" s="3"/>
      <c r="BC743" s="3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3"/>
      <c r="AY744" s="3"/>
      <c r="AZ744" s="3"/>
      <c r="BA744" s="3"/>
      <c r="BB744" s="3"/>
      <c r="BC744" s="3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3"/>
      <c r="AY745" s="3"/>
      <c r="AZ745" s="3"/>
      <c r="BA745" s="3"/>
      <c r="BB745" s="3"/>
      <c r="BC745" s="3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3"/>
      <c r="AY746" s="3"/>
      <c r="AZ746" s="3"/>
      <c r="BA746" s="3"/>
      <c r="BB746" s="3"/>
      <c r="BC746" s="3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3"/>
      <c r="AY747" s="3"/>
      <c r="AZ747" s="3"/>
      <c r="BA747" s="3"/>
      <c r="BB747" s="3"/>
      <c r="BC747" s="3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3"/>
      <c r="AY748" s="3"/>
      <c r="AZ748" s="3"/>
      <c r="BA748" s="3"/>
      <c r="BB748" s="3"/>
      <c r="BC748" s="3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3"/>
      <c r="AY749" s="3"/>
      <c r="AZ749" s="3"/>
      <c r="BA749" s="3"/>
      <c r="BB749" s="3"/>
      <c r="BC749" s="3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3"/>
      <c r="AY750" s="3"/>
      <c r="AZ750" s="3"/>
      <c r="BA750" s="3"/>
      <c r="BB750" s="3"/>
      <c r="BC750" s="3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3"/>
      <c r="AY751" s="3"/>
      <c r="AZ751" s="3"/>
      <c r="BA751" s="3"/>
      <c r="BB751" s="3"/>
      <c r="BC751" s="3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3"/>
      <c r="AY752" s="3"/>
      <c r="AZ752" s="3"/>
      <c r="BA752" s="3"/>
      <c r="BB752" s="3"/>
      <c r="BC752" s="3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3"/>
      <c r="AY753" s="3"/>
      <c r="AZ753" s="3"/>
      <c r="BA753" s="3"/>
      <c r="BB753" s="3"/>
      <c r="BC753" s="3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3"/>
      <c r="AY754" s="3"/>
      <c r="AZ754" s="3"/>
      <c r="BA754" s="3"/>
      <c r="BB754" s="3"/>
      <c r="BC754" s="3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3"/>
      <c r="AY755" s="3"/>
      <c r="AZ755" s="3"/>
      <c r="BA755" s="3"/>
      <c r="BB755" s="3"/>
      <c r="BC755" s="3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3"/>
      <c r="AY756" s="3"/>
      <c r="AZ756" s="3"/>
      <c r="BA756" s="3"/>
      <c r="BB756" s="3"/>
      <c r="BC756" s="3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3"/>
      <c r="AY757" s="3"/>
      <c r="AZ757" s="3"/>
      <c r="BA757" s="3"/>
      <c r="BB757" s="3"/>
      <c r="BC757" s="3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3"/>
      <c r="AY758" s="3"/>
      <c r="AZ758" s="3"/>
      <c r="BA758" s="3"/>
      <c r="BB758" s="3"/>
      <c r="BC758" s="3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3"/>
      <c r="AY759" s="3"/>
      <c r="AZ759" s="3"/>
      <c r="BA759" s="3"/>
      <c r="BB759" s="3"/>
      <c r="BC759" s="3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3"/>
      <c r="AY760" s="3"/>
      <c r="AZ760" s="3"/>
      <c r="BA760" s="3"/>
      <c r="BB760" s="3"/>
      <c r="BC760" s="3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3"/>
      <c r="AY761" s="3"/>
      <c r="AZ761" s="3"/>
      <c r="BA761" s="3"/>
      <c r="BB761" s="3"/>
      <c r="BC761" s="3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3"/>
      <c r="AY762" s="3"/>
      <c r="AZ762" s="3"/>
      <c r="BA762" s="3"/>
      <c r="BB762" s="3"/>
      <c r="BC762" s="3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3"/>
      <c r="AY763" s="3"/>
      <c r="AZ763" s="3"/>
      <c r="BA763" s="3"/>
      <c r="BB763" s="3"/>
      <c r="BC763" s="3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3"/>
      <c r="AY764" s="3"/>
      <c r="AZ764" s="3"/>
      <c r="BA764" s="3"/>
      <c r="BB764" s="3"/>
      <c r="BC764" s="3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3"/>
      <c r="AY765" s="3"/>
      <c r="AZ765" s="3"/>
      <c r="BA765" s="3"/>
      <c r="BB765" s="3"/>
      <c r="BC765" s="3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3"/>
      <c r="AY766" s="3"/>
      <c r="AZ766" s="3"/>
      <c r="BA766" s="3"/>
      <c r="BB766" s="3"/>
      <c r="BC766" s="3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3"/>
      <c r="AY767" s="3"/>
      <c r="AZ767" s="3"/>
      <c r="BA767" s="3"/>
      <c r="BB767" s="3"/>
      <c r="BC767" s="3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3"/>
      <c r="AY768" s="3"/>
      <c r="AZ768" s="3"/>
      <c r="BA768" s="3"/>
      <c r="BB768" s="3"/>
      <c r="BC768" s="3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3"/>
      <c r="AY769" s="3"/>
      <c r="AZ769" s="3"/>
      <c r="BA769" s="3"/>
      <c r="BB769" s="3"/>
      <c r="BC769" s="3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3"/>
      <c r="AY770" s="3"/>
      <c r="AZ770" s="3"/>
      <c r="BA770" s="3"/>
      <c r="BB770" s="3"/>
      <c r="BC770" s="3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3"/>
      <c r="AY771" s="3"/>
      <c r="AZ771" s="3"/>
      <c r="BA771" s="3"/>
      <c r="BB771" s="3"/>
      <c r="BC771" s="3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3"/>
      <c r="AY772" s="3"/>
      <c r="AZ772" s="3"/>
      <c r="BA772" s="3"/>
      <c r="BB772" s="3"/>
      <c r="BC772" s="3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3"/>
      <c r="AY773" s="3"/>
      <c r="AZ773" s="3"/>
      <c r="BA773" s="3"/>
      <c r="BB773" s="3"/>
      <c r="BC773" s="3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3"/>
      <c r="AY774" s="3"/>
      <c r="AZ774" s="3"/>
      <c r="BA774" s="3"/>
      <c r="BB774" s="3"/>
      <c r="BC774" s="3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3"/>
      <c r="AY775" s="3"/>
      <c r="AZ775" s="3"/>
      <c r="BA775" s="3"/>
      <c r="BB775" s="3"/>
      <c r="BC775" s="3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3"/>
      <c r="AY776" s="3"/>
      <c r="AZ776" s="3"/>
      <c r="BA776" s="3"/>
      <c r="BB776" s="3"/>
      <c r="BC776" s="3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3"/>
      <c r="AY777" s="3"/>
      <c r="AZ777" s="3"/>
      <c r="BA777" s="3"/>
      <c r="BB777" s="3"/>
      <c r="BC777" s="3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3"/>
      <c r="AY778" s="3"/>
      <c r="AZ778" s="3"/>
      <c r="BA778" s="3"/>
      <c r="BB778" s="3"/>
      <c r="BC778" s="3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3"/>
      <c r="AY779" s="3"/>
      <c r="AZ779" s="3"/>
      <c r="BA779" s="3"/>
      <c r="BB779" s="3"/>
      <c r="BC779" s="3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3"/>
      <c r="AY780" s="3"/>
      <c r="AZ780" s="3"/>
      <c r="BA780" s="3"/>
      <c r="BB780" s="3"/>
      <c r="BC780" s="3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3"/>
      <c r="AY781" s="3"/>
      <c r="AZ781" s="3"/>
      <c r="BA781" s="3"/>
      <c r="BB781" s="3"/>
      <c r="BC781" s="3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3"/>
      <c r="AY782" s="3"/>
      <c r="AZ782" s="3"/>
      <c r="BA782" s="3"/>
      <c r="BB782" s="3"/>
      <c r="BC782" s="3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3"/>
      <c r="AY783" s="3"/>
      <c r="AZ783" s="3"/>
      <c r="BA783" s="3"/>
      <c r="BB783" s="3"/>
      <c r="BC783" s="3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3"/>
      <c r="AY784" s="3"/>
      <c r="AZ784" s="3"/>
      <c r="BA784" s="3"/>
      <c r="BB784" s="3"/>
      <c r="BC784" s="3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3"/>
      <c r="AY785" s="3"/>
      <c r="AZ785" s="3"/>
      <c r="BA785" s="3"/>
      <c r="BB785" s="3"/>
      <c r="BC785" s="3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3"/>
      <c r="AY786" s="3"/>
      <c r="AZ786" s="3"/>
      <c r="BA786" s="3"/>
      <c r="BB786" s="3"/>
      <c r="BC786" s="3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3"/>
      <c r="AY787" s="3"/>
      <c r="AZ787" s="3"/>
      <c r="BA787" s="3"/>
      <c r="BB787" s="3"/>
      <c r="BC787" s="3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3"/>
      <c r="AY788" s="3"/>
      <c r="AZ788" s="3"/>
      <c r="BA788" s="3"/>
      <c r="BB788" s="3"/>
      <c r="BC788" s="3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3"/>
      <c r="AY789" s="3"/>
      <c r="AZ789" s="3"/>
      <c r="BA789" s="3"/>
      <c r="BB789" s="3"/>
      <c r="BC789" s="3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3"/>
      <c r="AY790" s="3"/>
      <c r="AZ790" s="3"/>
      <c r="BA790" s="3"/>
      <c r="BB790" s="3"/>
      <c r="BC790" s="3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3"/>
      <c r="AY791" s="3"/>
      <c r="AZ791" s="3"/>
      <c r="BA791" s="3"/>
      <c r="BB791" s="3"/>
      <c r="BC791" s="3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3"/>
      <c r="AY792" s="3"/>
      <c r="AZ792" s="3"/>
      <c r="BA792" s="3"/>
      <c r="BB792" s="3"/>
      <c r="BC792" s="3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3"/>
      <c r="AY793" s="3"/>
      <c r="AZ793" s="3"/>
      <c r="BA793" s="3"/>
      <c r="BB793" s="3"/>
      <c r="BC793" s="3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3"/>
      <c r="AY794" s="3"/>
      <c r="AZ794" s="3"/>
      <c r="BA794" s="3"/>
      <c r="BB794" s="3"/>
      <c r="BC794" s="3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3"/>
      <c r="AY795" s="3"/>
      <c r="AZ795" s="3"/>
      <c r="BA795" s="3"/>
      <c r="BB795" s="3"/>
      <c r="BC795" s="3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3"/>
      <c r="AY796" s="3"/>
      <c r="AZ796" s="3"/>
      <c r="BA796" s="3"/>
      <c r="BB796" s="3"/>
      <c r="BC796" s="3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3"/>
      <c r="AY797" s="3"/>
      <c r="AZ797" s="3"/>
      <c r="BA797" s="3"/>
      <c r="BB797" s="3"/>
      <c r="BC797" s="3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3"/>
      <c r="AY798" s="3"/>
      <c r="AZ798" s="3"/>
      <c r="BA798" s="3"/>
      <c r="BB798" s="3"/>
      <c r="BC798" s="3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3"/>
      <c r="AY799" s="3"/>
      <c r="AZ799" s="3"/>
      <c r="BA799" s="3"/>
      <c r="BB799" s="3"/>
      <c r="BC799" s="3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3"/>
      <c r="AY800" s="3"/>
      <c r="AZ800" s="3"/>
      <c r="BA800" s="3"/>
      <c r="BB800" s="3"/>
      <c r="BC800" s="3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3"/>
      <c r="AY801" s="3"/>
      <c r="AZ801" s="3"/>
      <c r="BA801" s="3"/>
      <c r="BB801" s="3"/>
      <c r="BC801" s="3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3"/>
      <c r="AY802" s="3"/>
      <c r="AZ802" s="3"/>
      <c r="BA802" s="3"/>
      <c r="BB802" s="3"/>
      <c r="BC802" s="3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3"/>
      <c r="AY803" s="3"/>
      <c r="AZ803" s="3"/>
      <c r="BA803" s="3"/>
      <c r="BB803" s="3"/>
      <c r="BC803" s="3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3"/>
      <c r="AY804" s="3"/>
      <c r="AZ804" s="3"/>
      <c r="BA804" s="3"/>
      <c r="BB804" s="3"/>
      <c r="BC804" s="3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3"/>
      <c r="AY805" s="3"/>
      <c r="AZ805" s="3"/>
      <c r="BA805" s="3"/>
      <c r="BB805" s="3"/>
      <c r="BC805" s="3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3"/>
      <c r="AY806" s="3"/>
      <c r="AZ806" s="3"/>
      <c r="BA806" s="3"/>
      <c r="BB806" s="3"/>
      <c r="BC806" s="3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3"/>
      <c r="AY807" s="3"/>
      <c r="AZ807" s="3"/>
      <c r="BA807" s="3"/>
      <c r="BB807" s="3"/>
      <c r="BC807" s="3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3"/>
      <c r="AY808" s="3"/>
      <c r="AZ808" s="3"/>
      <c r="BA808" s="3"/>
      <c r="BB808" s="3"/>
      <c r="BC808" s="3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3"/>
      <c r="AY809" s="3"/>
      <c r="AZ809" s="3"/>
      <c r="BA809" s="3"/>
      <c r="BB809" s="3"/>
      <c r="BC809" s="3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3"/>
      <c r="AY810" s="3"/>
      <c r="AZ810" s="3"/>
      <c r="BA810" s="3"/>
      <c r="BB810" s="3"/>
      <c r="BC810" s="3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3"/>
      <c r="AY811" s="3"/>
      <c r="AZ811" s="3"/>
      <c r="BA811" s="3"/>
      <c r="BB811" s="3"/>
      <c r="BC811" s="3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3"/>
      <c r="AY812" s="3"/>
      <c r="AZ812" s="3"/>
      <c r="BA812" s="3"/>
      <c r="BB812" s="3"/>
      <c r="BC812" s="3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3"/>
      <c r="AY813" s="3"/>
      <c r="AZ813" s="3"/>
      <c r="BA813" s="3"/>
      <c r="BB813" s="3"/>
      <c r="BC813" s="3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3"/>
      <c r="AY814" s="3"/>
      <c r="AZ814" s="3"/>
      <c r="BA814" s="3"/>
      <c r="BB814" s="3"/>
      <c r="BC814" s="3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3"/>
      <c r="AY815" s="3"/>
      <c r="AZ815" s="3"/>
      <c r="BA815" s="3"/>
      <c r="BB815" s="3"/>
      <c r="BC815" s="3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3"/>
      <c r="AY816" s="3"/>
      <c r="AZ816" s="3"/>
      <c r="BA816" s="3"/>
      <c r="BB816" s="3"/>
      <c r="BC816" s="3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3"/>
      <c r="AY817" s="3"/>
      <c r="AZ817" s="3"/>
      <c r="BA817" s="3"/>
      <c r="BB817" s="3"/>
      <c r="BC817" s="3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3"/>
      <c r="AY818" s="3"/>
      <c r="AZ818" s="3"/>
      <c r="BA818" s="3"/>
      <c r="BB818" s="3"/>
      <c r="BC818" s="3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3"/>
      <c r="AY819" s="3"/>
      <c r="AZ819" s="3"/>
      <c r="BA819" s="3"/>
      <c r="BB819" s="3"/>
      <c r="BC819" s="3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3"/>
      <c r="AY820" s="3"/>
      <c r="AZ820" s="3"/>
      <c r="BA820" s="3"/>
      <c r="BB820" s="3"/>
      <c r="BC820" s="3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3"/>
      <c r="AY821" s="3"/>
      <c r="AZ821" s="3"/>
      <c r="BA821" s="3"/>
      <c r="BB821" s="3"/>
      <c r="BC821" s="3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3"/>
      <c r="AY822" s="3"/>
      <c r="AZ822" s="3"/>
      <c r="BA822" s="3"/>
      <c r="BB822" s="3"/>
      <c r="BC822" s="3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3"/>
      <c r="AY823" s="3"/>
      <c r="AZ823" s="3"/>
      <c r="BA823" s="3"/>
      <c r="BB823" s="3"/>
      <c r="BC823" s="3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3"/>
      <c r="AY824" s="3"/>
      <c r="AZ824" s="3"/>
      <c r="BA824" s="3"/>
      <c r="BB824" s="3"/>
      <c r="BC824" s="3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3"/>
      <c r="AY825" s="3"/>
      <c r="AZ825" s="3"/>
      <c r="BA825" s="3"/>
      <c r="BB825" s="3"/>
      <c r="BC825" s="3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3"/>
      <c r="AY826" s="3"/>
      <c r="AZ826" s="3"/>
      <c r="BA826" s="3"/>
      <c r="BB826" s="3"/>
      <c r="BC826" s="3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3"/>
      <c r="AY827" s="3"/>
      <c r="AZ827" s="3"/>
      <c r="BA827" s="3"/>
      <c r="BB827" s="3"/>
      <c r="BC827" s="3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3"/>
      <c r="AY828" s="3"/>
      <c r="AZ828" s="3"/>
      <c r="BA828" s="3"/>
      <c r="BB828" s="3"/>
      <c r="BC828" s="3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3"/>
      <c r="AY829" s="3"/>
      <c r="AZ829" s="3"/>
      <c r="BA829" s="3"/>
      <c r="BB829" s="3"/>
      <c r="BC829" s="3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3"/>
      <c r="AY830" s="3"/>
      <c r="AZ830" s="3"/>
      <c r="BA830" s="3"/>
      <c r="BB830" s="3"/>
      <c r="BC830" s="3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3"/>
      <c r="AY831" s="3"/>
      <c r="AZ831" s="3"/>
      <c r="BA831" s="3"/>
      <c r="BB831" s="3"/>
      <c r="BC831" s="3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3"/>
      <c r="AY832" s="3"/>
      <c r="AZ832" s="3"/>
      <c r="BA832" s="3"/>
      <c r="BB832" s="3"/>
      <c r="BC832" s="3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3"/>
      <c r="AY833" s="3"/>
      <c r="AZ833" s="3"/>
      <c r="BA833" s="3"/>
      <c r="BB833" s="3"/>
      <c r="BC833" s="3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3"/>
      <c r="AY834" s="3"/>
      <c r="AZ834" s="3"/>
      <c r="BA834" s="3"/>
      <c r="BB834" s="3"/>
      <c r="BC834" s="3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3"/>
      <c r="AY835" s="3"/>
      <c r="AZ835" s="3"/>
      <c r="BA835" s="3"/>
      <c r="BB835" s="3"/>
      <c r="BC835" s="3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3"/>
      <c r="AY836" s="3"/>
      <c r="AZ836" s="3"/>
      <c r="BA836" s="3"/>
      <c r="BB836" s="3"/>
      <c r="BC836" s="3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3"/>
      <c r="AY837" s="3"/>
      <c r="AZ837" s="3"/>
      <c r="BA837" s="3"/>
      <c r="BB837" s="3"/>
      <c r="BC837" s="3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3"/>
      <c r="AY838" s="3"/>
      <c r="AZ838" s="3"/>
      <c r="BA838" s="3"/>
      <c r="BB838" s="3"/>
      <c r="BC838" s="3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3"/>
      <c r="AY839" s="3"/>
      <c r="AZ839" s="3"/>
      <c r="BA839" s="3"/>
      <c r="BB839" s="3"/>
      <c r="BC839" s="3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3"/>
      <c r="AY840" s="3"/>
      <c r="AZ840" s="3"/>
      <c r="BA840" s="3"/>
      <c r="BB840" s="3"/>
      <c r="BC840" s="3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3"/>
      <c r="AY841" s="3"/>
      <c r="AZ841" s="3"/>
      <c r="BA841" s="3"/>
      <c r="BB841" s="3"/>
      <c r="BC841" s="3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3"/>
      <c r="AY842" s="3"/>
      <c r="AZ842" s="3"/>
      <c r="BA842" s="3"/>
      <c r="BB842" s="3"/>
      <c r="BC842" s="3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3"/>
      <c r="AY843" s="3"/>
      <c r="AZ843" s="3"/>
      <c r="BA843" s="3"/>
      <c r="BB843" s="3"/>
      <c r="BC843" s="3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3"/>
      <c r="AY844" s="3"/>
      <c r="AZ844" s="3"/>
      <c r="BA844" s="3"/>
      <c r="BB844" s="3"/>
      <c r="BC844" s="3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3"/>
      <c r="AY845" s="3"/>
      <c r="AZ845" s="3"/>
      <c r="BA845" s="3"/>
      <c r="BB845" s="3"/>
      <c r="BC845" s="3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3"/>
      <c r="AY846" s="3"/>
      <c r="AZ846" s="3"/>
      <c r="BA846" s="3"/>
      <c r="BB846" s="3"/>
      <c r="BC846" s="3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3"/>
      <c r="AY847" s="3"/>
      <c r="AZ847" s="3"/>
      <c r="BA847" s="3"/>
      <c r="BB847" s="3"/>
      <c r="BC847" s="3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3"/>
      <c r="AY848" s="3"/>
      <c r="AZ848" s="3"/>
      <c r="BA848" s="3"/>
      <c r="BB848" s="3"/>
      <c r="BC848" s="3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3"/>
      <c r="AY849" s="3"/>
      <c r="AZ849" s="3"/>
      <c r="BA849" s="3"/>
      <c r="BB849" s="3"/>
      <c r="BC849" s="3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3"/>
      <c r="AY850" s="3"/>
      <c r="AZ850" s="3"/>
      <c r="BA850" s="3"/>
      <c r="BB850" s="3"/>
      <c r="BC850" s="3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3"/>
      <c r="AY851" s="3"/>
      <c r="AZ851" s="3"/>
      <c r="BA851" s="3"/>
      <c r="BB851" s="3"/>
      <c r="BC851" s="3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3"/>
      <c r="AY852" s="3"/>
      <c r="AZ852" s="3"/>
      <c r="BA852" s="3"/>
      <c r="BB852" s="3"/>
      <c r="BC852" s="3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3"/>
      <c r="AY853" s="3"/>
      <c r="AZ853" s="3"/>
      <c r="BA853" s="3"/>
      <c r="BB853" s="3"/>
      <c r="BC853" s="3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3"/>
      <c r="AY854" s="3"/>
      <c r="AZ854" s="3"/>
      <c r="BA854" s="3"/>
      <c r="BB854" s="3"/>
      <c r="BC854" s="3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3"/>
      <c r="AY855" s="3"/>
      <c r="AZ855" s="3"/>
      <c r="BA855" s="3"/>
      <c r="BB855" s="3"/>
      <c r="BC855" s="3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3"/>
      <c r="AY856" s="3"/>
      <c r="AZ856" s="3"/>
      <c r="BA856" s="3"/>
      <c r="BB856" s="3"/>
      <c r="BC856" s="3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3"/>
      <c r="AY857" s="3"/>
      <c r="AZ857" s="3"/>
      <c r="BA857" s="3"/>
      <c r="BB857" s="3"/>
      <c r="BC857" s="3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3"/>
      <c r="AY858" s="3"/>
      <c r="AZ858" s="3"/>
      <c r="BA858" s="3"/>
      <c r="BB858" s="3"/>
      <c r="BC858" s="3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3"/>
      <c r="AY859" s="3"/>
      <c r="AZ859" s="3"/>
      <c r="BA859" s="3"/>
      <c r="BB859" s="3"/>
      <c r="BC859" s="3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3"/>
      <c r="AY860" s="3"/>
      <c r="AZ860" s="3"/>
      <c r="BA860" s="3"/>
      <c r="BB860" s="3"/>
      <c r="BC860" s="3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3"/>
      <c r="AY861" s="3"/>
      <c r="AZ861" s="3"/>
      <c r="BA861" s="3"/>
      <c r="BB861" s="3"/>
      <c r="BC861" s="3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3"/>
      <c r="AY862" s="3"/>
      <c r="AZ862" s="3"/>
      <c r="BA862" s="3"/>
      <c r="BB862" s="3"/>
      <c r="BC862" s="3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3"/>
      <c r="AY863" s="3"/>
      <c r="AZ863" s="3"/>
      <c r="BA863" s="3"/>
      <c r="BB863" s="3"/>
      <c r="BC863" s="3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3"/>
      <c r="AY864" s="3"/>
      <c r="AZ864" s="3"/>
      <c r="BA864" s="3"/>
      <c r="BB864" s="3"/>
      <c r="BC864" s="3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3"/>
      <c r="AY865" s="3"/>
      <c r="AZ865" s="3"/>
      <c r="BA865" s="3"/>
      <c r="BB865" s="3"/>
      <c r="BC865" s="3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3"/>
      <c r="AY866" s="3"/>
      <c r="AZ866" s="3"/>
      <c r="BA866" s="3"/>
      <c r="BB866" s="3"/>
      <c r="BC866" s="3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3"/>
      <c r="AY867" s="3"/>
      <c r="AZ867" s="3"/>
      <c r="BA867" s="3"/>
      <c r="BB867" s="3"/>
      <c r="BC867" s="3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3"/>
      <c r="AY868" s="3"/>
      <c r="AZ868" s="3"/>
      <c r="BA868" s="3"/>
      <c r="BB868" s="3"/>
      <c r="BC868" s="3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3"/>
      <c r="AY869" s="3"/>
      <c r="AZ869" s="3"/>
      <c r="BA869" s="3"/>
      <c r="BB869" s="3"/>
      <c r="BC869" s="3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3"/>
      <c r="AY870" s="3"/>
      <c r="AZ870" s="3"/>
      <c r="BA870" s="3"/>
      <c r="BB870" s="3"/>
      <c r="BC870" s="3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3"/>
      <c r="AY871" s="3"/>
      <c r="AZ871" s="3"/>
      <c r="BA871" s="3"/>
      <c r="BB871" s="3"/>
      <c r="BC871" s="3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3"/>
      <c r="AY872" s="3"/>
      <c r="AZ872" s="3"/>
      <c r="BA872" s="3"/>
      <c r="BB872" s="3"/>
      <c r="BC872" s="3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3"/>
      <c r="AY873" s="3"/>
      <c r="AZ873" s="3"/>
      <c r="BA873" s="3"/>
      <c r="BB873" s="3"/>
      <c r="BC873" s="3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3"/>
      <c r="AY874" s="3"/>
      <c r="AZ874" s="3"/>
      <c r="BA874" s="3"/>
      <c r="BB874" s="3"/>
      <c r="BC874" s="3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3"/>
      <c r="AY875" s="3"/>
      <c r="AZ875" s="3"/>
      <c r="BA875" s="3"/>
      <c r="BB875" s="3"/>
      <c r="BC875" s="3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3"/>
      <c r="AY876" s="3"/>
      <c r="AZ876" s="3"/>
      <c r="BA876" s="3"/>
      <c r="BB876" s="3"/>
      <c r="BC876" s="3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3"/>
      <c r="AY877" s="3"/>
      <c r="AZ877" s="3"/>
      <c r="BA877" s="3"/>
      <c r="BB877" s="3"/>
      <c r="BC877" s="3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3"/>
      <c r="AY878" s="3"/>
      <c r="AZ878" s="3"/>
      <c r="BA878" s="3"/>
      <c r="BB878" s="3"/>
      <c r="BC878" s="3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3"/>
      <c r="AY879" s="3"/>
      <c r="AZ879" s="3"/>
      <c r="BA879" s="3"/>
      <c r="BB879" s="3"/>
      <c r="BC879" s="3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3"/>
      <c r="AY880" s="3"/>
      <c r="AZ880" s="3"/>
      <c r="BA880" s="3"/>
      <c r="BB880" s="3"/>
      <c r="BC880" s="3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3"/>
      <c r="AY881" s="3"/>
      <c r="AZ881" s="3"/>
      <c r="BA881" s="3"/>
      <c r="BB881" s="3"/>
      <c r="BC881" s="3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3"/>
      <c r="AY882" s="3"/>
      <c r="AZ882" s="3"/>
      <c r="BA882" s="3"/>
      <c r="BB882" s="3"/>
      <c r="BC882" s="3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3"/>
      <c r="AY883" s="3"/>
      <c r="AZ883" s="3"/>
      <c r="BA883" s="3"/>
      <c r="BB883" s="3"/>
      <c r="BC883" s="3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3"/>
      <c r="AY884" s="3"/>
      <c r="AZ884" s="3"/>
      <c r="BA884" s="3"/>
      <c r="BB884" s="3"/>
      <c r="BC884" s="3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3"/>
      <c r="AY885" s="3"/>
      <c r="AZ885" s="3"/>
      <c r="BA885" s="3"/>
      <c r="BB885" s="3"/>
      <c r="BC885" s="3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3"/>
      <c r="AY886" s="3"/>
      <c r="AZ886" s="3"/>
      <c r="BA886" s="3"/>
      <c r="BB886" s="3"/>
      <c r="BC886" s="3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3"/>
      <c r="AY887" s="3"/>
      <c r="AZ887" s="3"/>
      <c r="BA887" s="3"/>
      <c r="BB887" s="3"/>
      <c r="BC887" s="3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3"/>
      <c r="AY888" s="3"/>
      <c r="AZ888" s="3"/>
      <c r="BA888" s="3"/>
      <c r="BB888" s="3"/>
      <c r="BC888" s="3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3"/>
      <c r="AY889" s="3"/>
      <c r="AZ889" s="3"/>
      <c r="BA889" s="3"/>
      <c r="BB889" s="3"/>
      <c r="BC889" s="3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3"/>
      <c r="AY890" s="3"/>
      <c r="AZ890" s="3"/>
      <c r="BA890" s="3"/>
      <c r="BB890" s="3"/>
      <c r="BC890" s="3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3"/>
      <c r="AY891" s="3"/>
      <c r="AZ891" s="3"/>
      <c r="BA891" s="3"/>
      <c r="BB891" s="3"/>
      <c r="BC891" s="3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3"/>
      <c r="AY892" s="3"/>
      <c r="AZ892" s="3"/>
      <c r="BA892" s="3"/>
      <c r="BB892" s="3"/>
      <c r="BC892" s="3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3"/>
      <c r="AY893" s="3"/>
      <c r="AZ893" s="3"/>
      <c r="BA893" s="3"/>
      <c r="BB893" s="3"/>
      <c r="BC893" s="3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3"/>
      <c r="AY894" s="3"/>
      <c r="AZ894" s="3"/>
      <c r="BA894" s="3"/>
      <c r="BB894" s="3"/>
      <c r="BC894" s="3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3"/>
      <c r="AY895" s="3"/>
      <c r="AZ895" s="3"/>
      <c r="BA895" s="3"/>
      <c r="BB895" s="3"/>
      <c r="BC895" s="3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3"/>
      <c r="AY896" s="3"/>
      <c r="AZ896" s="3"/>
      <c r="BA896" s="3"/>
      <c r="BB896" s="3"/>
      <c r="BC896" s="3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3"/>
      <c r="AY897" s="3"/>
      <c r="AZ897" s="3"/>
      <c r="BA897" s="3"/>
      <c r="BB897" s="3"/>
      <c r="BC897" s="3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3"/>
      <c r="AY898" s="3"/>
      <c r="AZ898" s="3"/>
      <c r="BA898" s="3"/>
      <c r="BB898" s="3"/>
      <c r="BC898" s="3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3"/>
      <c r="AY899" s="3"/>
      <c r="AZ899" s="3"/>
      <c r="BA899" s="3"/>
      <c r="BB899" s="3"/>
      <c r="BC899" s="3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3"/>
      <c r="AY900" s="3"/>
      <c r="AZ900" s="3"/>
      <c r="BA900" s="3"/>
      <c r="BB900" s="3"/>
      <c r="BC900" s="3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3"/>
      <c r="AY901" s="3"/>
      <c r="AZ901" s="3"/>
      <c r="BA901" s="3"/>
      <c r="BB901" s="3"/>
      <c r="BC901" s="3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3"/>
      <c r="AY902" s="3"/>
      <c r="AZ902" s="3"/>
      <c r="BA902" s="3"/>
      <c r="BB902" s="3"/>
      <c r="BC902" s="3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3"/>
      <c r="AY903" s="3"/>
      <c r="AZ903" s="3"/>
      <c r="BA903" s="3"/>
      <c r="BB903" s="3"/>
      <c r="BC903" s="3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3"/>
      <c r="AY904" s="3"/>
      <c r="AZ904" s="3"/>
      <c r="BA904" s="3"/>
      <c r="BB904" s="3"/>
      <c r="BC904" s="3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3"/>
      <c r="AY905" s="3"/>
      <c r="AZ905" s="3"/>
      <c r="BA905" s="3"/>
      <c r="BB905" s="3"/>
      <c r="BC905" s="3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3"/>
      <c r="AY906" s="3"/>
      <c r="AZ906" s="3"/>
      <c r="BA906" s="3"/>
      <c r="BB906" s="3"/>
      <c r="BC906" s="3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3"/>
      <c r="AY907" s="3"/>
      <c r="AZ907" s="3"/>
      <c r="BA907" s="3"/>
      <c r="BB907" s="3"/>
      <c r="BC907" s="3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3"/>
      <c r="AY908" s="3"/>
      <c r="AZ908" s="3"/>
      <c r="BA908" s="3"/>
      <c r="BB908" s="3"/>
      <c r="BC908" s="3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3"/>
      <c r="AY909" s="3"/>
      <c r="AZ909" s="3"/>
      <c r="BA909" s="3"/>
      <c r="BB909" s="3"/>
      <c r="BC909" s="3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3"/>
      <c r="AY910" s="3"/>
      <c r="AZ910" s="3"/>
      <c r="BA910" s="3"/>
      <c r="BB910" s="3"/>
      <c r="BC910" s="3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3"/>
      <c r="AY911" s="3"/>
      <c r="AZ911" s="3"/>
      <c r="BA911" s="3"/>
      <c r="BB911" s="3"/>
      <c r="BC911" s="3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3"/>
      <c r="AY912" s="3"/>
      <c r="AZ912" s="3"/>
      <c r="BA912" s="3"/>
      <c r="BB912" s="3"/>
      <c r="BC912" s="3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3"/>
      <c r="AY913" s="3"/>
      <c r="AZ913" s="3"/>
      <c r="BA913" s="3"/>
      <c r="BB913" s="3"/>
      <c r="BC913" s="3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3"/>
      <c r="AY914" s="3"/>
      <c r="AZ914" s="3"/>
      <c r="BA914" s="3"/>
      <c r="BB914" s="3"/>
      <c r="BC914" s="3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3"/>
      <c r="AY915" s="3"/>
      <c r="AZ915" s="3"/>
      <c r="BA915" s="3"/>
      <c r="BB915" s="3"/>
      <c r="BC915" s="3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3"/>
      <c r="AY916" s="3"/>
      <c r="AZ916" s="3"/>
      <c r="BA916" s="3"/>
      <c r="BB916" s="3"/>
      <c r="BC916" s="3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3"/>
      <c r="AY917" s="3"/>
      <c r="AZ917" s="3"/>
      <c r="BA917" s="3"/>
      <c r="BB917" s="3"/>
      <c r="BC917" s="3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3"/>
      <c r="AY918" s="3"/>
      <c r="AZ918" s="3"/>
      <c r="BA918" s="3"/>
      <c r="BB918" s="3"/>
      <c r="BC918" s="3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3"/>
      <c r="AY919" s="3"/>
      <c r="AZ919" s="3"/>
      <c r="BA919" s="3"/>
      <c r="BB919" s="3"/>
      <c r="BC919" s="3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3"/>
      <c r="AY920" s="3"/>
      <c r="AZ920" s="3"/>
      <c r="BA920" s="3"/>
      <c r="BB920" s="3"/>
      <c r="BC920" s="3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3"/>
      <c r="AY921" s="3"/>
      <c r="AZ921" s="3"/>
      <c r="BA921" s="3"/>
      <c r="BB921" s="3"/>
      <c r="BC921" s="3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3"/>
      <c r="AY922" s="3"/>
      <c r="AZ922" s="3"/>
      <c r="BA922" s="3"/>
      <c r="BB922" s="3"/>
      <c r="BC922" s="3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3"/>
      <c r="AY923" s="3"/>
      <c r="AZ923" s="3"/>
      <c r="BA923" s="3"/>
      <c r="BB923" s="3"/>
      <c r="BC923" s="3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3"/>
      <c r="AY924" s="3"/>
      <c r="AZ924" s="3"/>
      <c r="BA924" s="3"/>
      <c r="BB924" s="3"/>
      <c r="BC924" s="3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3"/>
      <c r="AY925" s="3"/>
      <c r="AZ925" s="3"/>
      <c r="BA925" s="3"/>
      <c r="BB925" s="3"/>
      <c r="BC925" s="3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3"/>
      <c r="AY926" s="3"/>
      <c r="AZ926" s="3"/>
      <c r="BA926" s="3"/>
      <c r="BB926" s="3"/>
      <c r="BC926" s="3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3"/>
      <c r="AY927" s="3"/>
      <c r="AZ927" s="3"/>
      <c r="BA927" s="3"/>
      <c r="BB927" s="3"/>
      <c r="BC927" s="3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3"/>
      <c r="AY928" s="3"/>
      <c r="AZ928" s="3"/>
      <c r="BA928" s="3"/>
      <c r="BB928" s="3"/>
      <c r="BC928" s="3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3"/>
      <c r="AY929" s="3"/>
      <c r="AZ929" s="3"/>
      <c r="BA929" s="3"/>
      <c r="BB929" s="3"/>
      <c r="BC929" s="3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3"/>
      <c r="AY930" s="3"/>
      <c r="AZ930" s="3"/>
      <c r="BA930" s="3"/>
      <c r="BB930" s="3"/>
      <c r="BC930" s="3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3"/>
      <c r="AY931" s="3"/>
      <c r="AZ931" s="3"/>
      <c r="BA931" s="3"/>
      <c r="BB931" s="3"/>
      <c r="BC931" s="3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3"/>
      <c r="AY932" s="3"/>
      <c r="AZ932" s="3"/>
      <c r="BA932" s="3"/>
      <c r="BB932" s="3"/>
      <c r="BC932" s="3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3"/>
      <c r="AY933" s="3"/>
      <c r="AZ933" s="3"/>
      <c r="BA933" s="3"/>
      <c r="BB933" s="3"/>
      <c r="BC933" s="3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3"/>
      <c r="AY934" s="3"/>
      <c r="AZ934" s="3"/>
      <c r="BA934" s="3"/>
      <c r="BB934" s="3"/>
      <c r="BC934" s="3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3"/>
      <c r="AY935" s="3"/>
      <c r="AZ935" s="3"/>
      <c r="BA935" s="3"/>
      <c r="BB935" s="3"/>
      <c r="BC935" s="3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3"/>
      <c r="AY936" s="3"/>
      <c r="AZ936" s="3"/>
      <c r="BA936" s="3"/>
      <c r="BB936" s="3"/>
      <c r="BC936" s="3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3"/>
      <c r="AY937" s="3"/>
      <c r="AZ937" s="3"/>
      <c r="BA937" s="3"/>
      <c r="BB937" s="3"/>
      <c r="BC937" s="3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3"/>
      <c r="AY938" s="3"/>
      <c r="AZ938" s="3"/>
      <c r="BA938" s="3"/>
      <c r="BB938" s="3"/>
      <c r="BC938" s="3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3"/>
      <c r="AY939" s="3"/>
      <c r="AZ939" s="3"/>
      <c r="BA939" s="3"/>
      <c r="BB939" s="3"/>
      <c r="BC939" s="3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3"/>
      <c r="AY940" s="3"/>
      <c r="AZ940" s="3"/>
      <c r="BA940" s="3"/>
      <c r="BB940" s="3"/>
      <c r="BC940" s="3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3"/>
      <c r="AY941" s="3"/>
      <c r="AZ941" s="3"/>
      <c r="BA941" s="3"/>
      <c r="BB941" s="3"/>
      <c r="BC941" s="3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3"/>
      <c r="AY942" s="3"/>
      <c r="AZ942" s="3"/>
      <c r="BA942" s="3"/>
      <c r="BB942" s="3"/>
      <c r="BC942" s="3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3"/>
      <c r="AY943" s="3"/>
      <c r="AZ943" s="3"/>
      <c r="BA943" s="3"/>
      <c r="BB943" s="3"/>
      <c r="BC943" s="3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3"/>
      <c r="AY944" s="3"/>
      <c r="AZ944" s="3"/>
      <c r="BA944" s="3"/>
      <c r="BB944" s="3"/>
      <c r="BC944" s="3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3"/>
      <c r="AY945" s="3"/>
      <c r="AZ945" s="3"/>
      <c r="BA945" s="3"/>
      <c r="BB945" s="3"/>
      <c r="BC945" s="3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3"/>
      <c r="AY946" s="3"/>
      <c r="AZ946" s="3"/>
      <c r="BA946" s="3"/>
      <c r="BB946" s="3"/>
      <c r="BC946" s="3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3"/>
      <c r="AY947" s="3"/>
      <c r="AZ947" s="3"/>
      <c r="BA947" s="3"/>
      <c r="BB947" s="3"/>
      <c r="BC947" s="3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3"/>
      <c r="AY948" s="3"/>
      <c r="AZ948" s="3"/>
      <c r="BA948" s="3"/>
      <c r="BB948" s="3"/>
      <c r="BC948" s="3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3"/>
      <c r="AY949" s="3"/>
      <c r="AZ949" s="3"/>
      <c r="BA949" s="3"/>
      <c r="BB949" s="3"/>
      <c r="BC949" s="3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3"/>
      <c r="AY950" s="3"/>
      <c r="AZ950" s="3"/>
      <c r="BA950" s="3"/>
      <c r="BB950" s="3"/>
      <c r="BC950" s="3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3"/>
      <c r="AY951" s="3"/>
      <c r="AZ951" s="3"/>
      <c r="BA951" s="3"/>
      <c r="BB951" s="3"/>
      <c r="BC951" s="3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3"/>
      <c r="AY952" s="3"/>
      <c r="AZ952" s="3"/>
      <c r="BA952" s="3"/>
      <c r="BB952" s="3"/>
      <c r="BC952" s="3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3"/>
      <c r="AY953" s="3"/>
      <c r="AZ953" s="3"/>
      <c r="BA953" s="3"/>
      <c r="BB953" s="3"/>
      <c r="BC953" s="3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3"/>
      <c r="AY954" s="3"/>
      <c r="AZ954" s="3"/>
      <c r="BA954" s="3"/>
      <c r="BB954" s="3"/>
      <c r="BC954" s="3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3"/>
      <c r="AY955" s="3"/>
      <c r="AZ955" s="3"/>
      <c r="BA955" s="3"/>
      <c r="BB955" s="3"/>
      <c r="BC955" s="3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3"/>
      <c r="AY956" s="3"/>
      <c r="AZ956" s="3"/>
      <c r="BA956" s="3"/>
      <c r="BB956" s="3"/>
      <c r="BC956" s="3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3"/>
      <c r="AY957" s="3"/>
      <c r="AZ957" s="3"/>
      <c r="BA957" s="3"/>
      <c r="BB957" s="3"/>
      <c r="BC957" s="3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3"/>
      <c r="AY958" s="3"/>
      <c r="AZ958" s="3"/>
      <c r="BA958" s="3"/>
      <c r="BB958" s="3"/>
      <c r="BC958" s="3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3"/>
      <c r="AY959" s="3"/>
      <c r="AZ959" s="3"/>
      <c r="BA959" s="3"/>
      <c r="BB959" s="3"/>
      <c r="BC959" s="3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3"/>
      <c r="AY960" s="3"/>
      <c r="AZ960" s="3"/>
      <c r="BA960" s="3"/>
      <c r="BB960" s="3"/>
      <c r="BC960" s="3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3"/>
      <c r="AY961" s="3"/>
      <c r="AZ961" s="3"/>
      <c r="BA961" s="3"/>
      <c r="BB961" s="3"/>
      <c r="BC961" s="3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3"/>
      <c r="AY962" s="3"/>
      <c r="AZ962" s="3"/>
      <c r="BA962" s="3"/>
      <c r="BB962" s="3"/>
      <c r="BC962" s="3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3"/>
      <c r="AY963" s="3"/>
      <c r="AZ963" s="3"/>
      <c r="BA963" s="3"/>
      <c r="BB963" s="3"/>
      <c r="BC963" s="3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3"/>
      <c r="AY964" s="3"/>
      <c r="AZ964" s="3"/>
      <c r="BA964" s="3"/>
      <c r="BB964" s="3"/>
      <c r="BC964" s="3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3"/>
      <c r="AY965" s="3"/>
      <c r="AZ965" s="3"/>
      <c r="BA965" s="3"/>
      <c r="BB965" s="3"/>
      <c r="BC965" s="3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3"/>
      <c r="AY966" s="3"/>
      <c r="AZ966" s="3"/>
      <c r="BA966" s="3"/>
      <c r="BB966" s="3"/>
      <c r="BC966" s="3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3"/>
      <c r="AY967" s="3"/>
      <c r="AZ967" s="3"/>
      <c r="BA967" s="3"/>
      <c r="BB967" s="3"/>
      <c r="BC967" s="3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3"/>
      <c r="AY968" s="3"/>
      <c r="AZ968" s="3"/>
      <c r="BA968" s="3"/>
      <c r="BB968" s="3"/>
      <c r="BC968" s="3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3"/>
      <c r="AY969" s="3"/>
      <c r="AZ969" s="3"/>
      <c r="BA969" s="3"/>
      <c r="BB969" s="3"/>
      <c r="BC969" s="3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3"/>
      <c r="AY970" s="3"/>
      <c r="AZ970" s="3"/>
      <c r="BA970" s="3"/>
      <c r="BB970" s="3"/>
      <c r="BC970" s="3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3"/>
      <c r="AY971" s="3"/>
      <c r="AZ971" s="3"/>
      <c r="BA971" s="3"/>
      <c r="BB971" s="3"/>
      <c r="BC971" s="3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3"/>
      <c r="AY972" s="3"/>
      <c r="AZ972" s="3"/>
      <c r="BA972" s="3"/>
      <c r="BB972" s="3"/>
      <c r="BC972" s="3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3"/>
      <c r="AY973" s="3"/>
      <c r="AZ973" s="3"/>
      <c r="BA973" s="3"/>
      <c r="BB973" s="3"/>
      <c r="BC973" s="3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3"/>
      <c r="AY974" s="3"/>
      <c r="AZ974" s="3"/>
      <c r="BA974" s="3"/>
      <c r="BB974" s="3"/>
      <c r="BC974" s="3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3"/>
      <c r="AY975" s="3"/>
      <c r="AZ975" s="3"/>
      <c r="BA975" s="3"/>
      <c r="BB975" s="3"/>
      <c r="BC975" s="3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3"/>
      <c r="AY976" s="3"/>
      <c r="AZ976" s="3"/>
      <c r="BA976" s="3"/>
      <c r="BB976" s="3"/>
      <c r="BC976" s="3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3"/>
      <c r="AY977" s="3"/>
      <c r="AZ977" s="3"/>
      <c r="BA977" s="3"/>
      <c r="BB977" s="3"/>
      <c r="BC977" s="3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3"/>
      <c r="AY978" s="3"/>
      <c r="AZ978" s="3"/>
      <c r="BA978" s="3"/>
      <c r="BB978" s="3"/>
      <c r="BC978" s="3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3"/>
      <c r="AY979" s="3"/>
      <c r="AZ979" s="3"/>
      <c r="BA979" s="3"/>
      <c r="BB979" s="3"/>
      <c r="BC979" s="3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3"/>
      <c r="AY980" s="3"/>
      <c r="AZ980" s="3"/>
      <c r="BA980" s="3"/>
      <c r="BB980" s="3"/>
      <c r="BC980" s="3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3"/>
      <c r="AY981" s="3"/>
      <c r="AZ981" s="3"/>
      <c r="BA981" s="3"/>
      <c r="BB981" s="3"/>
      <c r="BC981" s="3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3"/>
      <c r="AY982" s="3"/>
      <c r="AZ982" s="3"/>
      <c r="BA982" s="3"/>
      <c r="BB982" s="3"/>
      <c r="BC982" s="3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3"/>
      <c r="AY983" s="3"/>
      <c r="AZ983" s="3"/>
      <c r="BA983" s="3"/>
      <c r="BB983" s="3"/>
      <c r="BC983" s="3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3"/>
      <c r="AY984" s="3"/>
      <c r="AZ984" s="3"/>
      <c r="BA984" s="3"/>
      <c r="BB984" s="3"/>
      <c r="BC984" s="3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3"/>
      <c r="AY985" s="3"/>
      <c r="AZ985" s="3"/>
      <c r="BA985" s="3"/>
      <c r="BB985" s="3"/>
      <c r="BC985" s="3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3"/>
      <c r="AY986" s="3"/>
      <c r="AZ986" s="3"/>
      <c r="BA986" s="3"/>
      <c r="BB986" s="3"/>
      <c r="BC986" s="3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3"/>
      <c r="AY987" s="3"/>
      <c r="AZ987" s="3"/>
      <c r="BA987" s="3"/>
      <c r="BB987" s="3"/>
      <c r="BC987" s="3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3"/>
      <c r="AY988" s="3"/>
      <c r="AZ988" s="3"/>
      <c r="BA988" s="3"/>
      <c r="BB988" s="3"/>
      <c r="BC988" s="3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3"/>
      <c r="AY989" s="3"/>
      <c r="AZ989" s="3"/>
      <c r="BA989" s="3"/>
      <c r="BB989" s="3"/>
      <c r="BC989" s="3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3"/>
      <c r="AY990" s="3"/>
      <c r="AZ990" s="3"/>
      <c r="BA990" s="3"/>
      <c r="BB990" s="3"/>
      <c r="BC990" s="3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3"/>
      <c r="AY991" s="3"/>
      <c r="AZ991" s="3"/>
      <c r="BA991" s="3"/>
      <c r="BB991" s="3"/>
      <c r="BC991" s="3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3"/>
      <c r="AY992" s="3"/>
      <c r="AZ992" s="3"/>
      <c r="BA992" s="3"/>
      <c r="BB992" s="3"/>
      <c r="BC992" s="3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3"/>
      <c r="AY993" s="3"/>
      <c r="AZ993" s="3"/>
      <c r="BA993" s="3"/>
      <c r="BB993" s="3"/>
      <c r="BC993" s="3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3"/>
      <c r="AY994" s="3"/>
      <c r="AZ994" s="3"/>
      <c r="BA994" s="3"/>
      <c r="BB994" s="3"/>
      <c r="BC994" s="3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3"/>
      <c r="AY995" s="3"/>
      <c r="AZ995" s="3"/>
      <c r="BA995" s="3"/>
      <c r="BB995" s="3"/>
      <c r="BC995" s="3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3"/>
      <c r="AY996" s="3"/>
      <c r="AZ996" s="3"/>
      <c r="BA996" s="3"/>
      <c r="BB996" s="3"/>
      <c r="BC996" s="3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3"/>
      <c r="AY997" s="3"/>
      <c r="AZ997" s="3"/>
      <c r="BA997" s="3"/>
      <c r="BB997" s="3"/>
      <c r="BC997" s="3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3"/>
      <c r="AY998" s="3"/>
      <c r="AZ998" s="3"/>
      <c r="BA998" s="3"/>
      <c r="BB998" s="3"/>
      <c r="BC998" s="3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3"/>
      <c r="AY999" s="3"/>
      <c r="AZ999" s="3"/>
      <c r="BA999" s="3"/>
      <c r="BB999" s="3"/>
      <c r="BC999" s="3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3"/>
      <c r="AY1000" s="3"/>
      <c r="AZ1000" s="3"/>
      <c r="BA1000" s="3"/>
      <c r="BB1000" s="3"/>
      <c r="BC1000" s="3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3"/>
      <c r="AY1001" s="3"/>
      <c r="AZ1001" s="3"/>
      <c r="BA1001" s="3"/>
      <c r="BB1001" s="3"/>
      <c r="BC1001" s="3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3"/>
      <c r="AY1002" s="3"/>
      <c r="AZ1002" s="3"/>
      <c r="BA1002" s="3"/>
      <c r="BB1002" s="3"/>
      <c r="BC1002" s="3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3"/>
      <c r="AY1003" s="3"/>
      <c r="AZ1003" s="3"/>
      <c r="BA1003" s="3"/>
      <c r="BB1003" s="3"/>
      <c r="BC1003" s="3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3"/>
      <c r="AY1004" s="3"/>
      <c r="AZ1004" s="3"/>
      <c r="BA1004" s="3"/>
      <c r="BB1004" s="3"/>
      <c r="BC1004" s="3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3"/>
      <c r="AY1005" s="3"/>
      <c r="AZ1005" s="3"/>
      <c r="BA1005" s="3"/>
      <c r="BB1005" s="3"/>
      <c r="BC1005" s="3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3"/>
      <c r="AY1006" s="3"/>
      <c r="AZ1006" s="3"/>
      <c r="BA1006" s="3"/>
      <c r="BB1006" s="3"/>
      <c r="BC1006" s="3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3"/>
      <c r="AY1007" s="3"/>
      <c r="AZ1007" s="3"/>
      <c r="BA1007" s="3"/>
      <c r="BB1007" s="3"/>
      <c r="BC1007" s="3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3"/>
      <c r="AY1008" s="3"/>
      <c r="AZ1008" s="3"/>
      <c r="BA1008" s="3"/>
      <c r="BB1008" s="3"/>
      <c r="BC1008" s="3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3"/>
      <c r="AY1009" s="3"/>
      <c r="AZ1009" s="3"/>
      <c r="BA1009" s="3"/>
      <c r="BB1009" s="3"/>
      <c r="BC1009" s="3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3"/>
      <c r="AY1010" s="3"/>
      <c r="AZ1010" s="3"/>
      <c r="BA1010" s="3"/>
      <c r="BB1010" s="3"/>
      <c r="BC1010" s="3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3"/>
      <c r="AY1011" s="3"/>
      <c r="AZ1011" s="3"/>
      <c r="BA1011" s="3"/>
      <c r="BB1011" s="3"/>
      <c r="BC1011" s="3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3"/>
      <c r="AY1012" s="3"/>
      <c r="AZ1012" s="3"/>
      <c r="BA1012" s="3"/>
      <c r="BB1012" s="3"/>
      <c r="BC1012" s="3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3"/>
      <c r="AY1013" s="3"/>
      <c r="AZ1013" s="3"/>
      <c r="BA1013" s="3"/>
      <c r="BB1013" s="3"/>
      <c r="BC1013" s="3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3"/>
      <c r="AY1014" s="3"/>
      <c r="AZ1014" s="3"/>
      <c r="BA1014" s="3"/>
      <c r="BB1014" s="3"/>
      <c r="BC1014" s="3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3"/>
      <c r="AY1015" s="3"/>
      <c r="AZ1015" s="3"/>
      <c r="BA1015" s="3"/>
      <c r="BB1015" s="3"/>
      <c r="BC1015" s="3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3"/>
      <c r="AY1016" s="3"/>
      <c r="AZ1016" s="3"/>
      <c r="BA1016" s="3"/>
      <c r="BB1016" s="3"/>
      <c r="BC1016" s="3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3"/>
      <c r="AY1017" s="3"/>
      <c r="AZ1017" s="3"/>
      <c r="BA1017" s="3"/>
      <c r="BB1017" s="3"/>
      <c r="BC1017" s="3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</row>
  </sheetData>
  <mergeCells count="133">
    <mergeCell ref="B36:H36"/>
    <mergeCell ref="I36:J36"/>
    <mergeCell ref="B37:H37"/>
    <mergeCell ref="I37:J37"/>
    <mergeCell ref="B38:H38"/>
    <mergeCell ref="I38:J38"/>
    <mergeCell ref="I39:J39"/>
    <mergeCell ref="B39:H39"/>
    <mergeCell ref="B40:H40"/>
    <mergeCell ref="I40:J40"/>
    <mergeCell ref="B41:H41"/>
    <mergeCell ref="I41:J41"/>
    <mergeCell ref="B42:H42"/>
    <mergeCell ref="I42:J42"/>
    <mergeCell ref="B44:H44"/>
    <mergeCell ref="I44:J44"/>
    <mergeCell ref="B45:H45"/>
    <mergeCell ref="I45:J45"/>
    <mergeCell ref="B46:H46"/>
    <mergeCell ref="I46:J46"/>
    <mergeCell ref="I47:J47"/>
    <mergeCell ref="B47:H47"/>
    <mergeCell ref="B48:H48"/>
    <mergeCell ref="I48:J48"/>
    <mergeCell ref="B49:H49"/>
    <mergeCell ref="I49:J49"/>
    <mergeCell ref="B50:H50"/>
    <mergeCell ref="I50:J50"/>
    <mergeCell ref="B51:H51"/>
    <mergeCell ref="I51:J51"/>
    <mergeCell ref="B52:H52"/>
    <mergeCell ref="I52:J52"/>
    <mergeCell ref="B53:H53"/>
    <mergeCell ref="I53:J53"/>
    <mergeCell ref="I54:J54"/>
    <mergeCell ref="B58:H58"/>
    <mergeCell ref="I58:J58"/>
    <mergeCell ref="B59:H59"/>
    <mergeCell ref="I59:J59"/>
    <mergeCell ref="B54:H54"/>
    <mergeCell ref="B55:H55"/>
    <mergeCell ref="I55:J55"/>
    <mergeCell ref="B56:H56"/>
    <mergeCell ref="I56:J56"/>
    <mergeCell ref="B57:H57"/>
    <mergeCell ref="I57:J57"/>
    <mergeCell ref="AY31:BE32"/>
    <mergeCell ref="BF31:BL32"/>
    <mergeCell ref="AS36:AV36"/>
    <mergeCell ref="AS35:AV35"/>
    <mergeCell ref="AQ33:AQ34"/>
    <mergeCell ref="AR33:AV34"/>
    <mergeCell ref="AR5:AT5"/>
    <mergeCell ref="AR6:AT6"/>
    <mergeCell ref="AR7:AT7"/>
    <mergeCell ref="AR8:AT8"/>
    <mergeCell ref="AR1:AT1"/>
    <mergeCell ref="AO2:AQ3"/>
    <mergeCell ref="AR2:AT2"/>
    <mergeCell ref="AR3:AT3"/>
    <mergeCell ref="A2:G4"/>
    <mergeCell ref="A5:G6"/>
    <mergeCell ref="A8:G8"/>
    <mergeCell ref="W13:AC14"/>
    <mergeCell ref="AD13:AJ14"/>
    <mergeCell ref="AK13:AM14"/>
    <mergeCell ref="A13:H16"/>
    <mergeCell ref="I13:O14"/>
    <mergeCell ref="P13:V14"/>
    <mergeCell ref="A10:B10"/>
    <mergeCell ref="C10:G10"/>
    <mergeCell ref="A17:H22"/>
    <mergeCell ref="I17:O22"/>
    <mergeCell ref="P17:V22"/>
    <mergeCell ref="W17:AC22"/>
    <mergeCell ref="AD17:AJ22"/>
    <mergeCell ref="AK17:AM22"/>
    <mergeCell ref="A23:H23"/>
    <mergeCell ref="I26:O26"/>
    <mergeCell ref="I27:O27"/>
    <mergeCell ref="AP21:AQ21"/>
    <mergeCell ref="AP23:AQ23"/>
    <mergeCell ref="AP24:AQ24"/>
    <mergeCell ref="AP26:AQ26"/>
    <mergeCell ref="AR4:AT4"/>
    <mergeCell ref="AR9:AT9"/>
    <mergeCell ref="AR10:AT10"/>
    <mergeCell ref="AR11:AT11"/>
    <mergeCell ref="AR14:AT14"/>
    <mergeCell ref="AO16:AQ17"/>
    <mergeCell ref="AP19:AQ19"/>
    <mergeCell ref="A9:B9"/>
    <mergeCell ref="C9:G9"/>
    <mergeCell ref="P27:V27"/>
    <mergeCell ref="W27:AC27"/>
    <mergeCell ref="AD27:AJ27"/>
    <mergeCell ref="AK27:AM27"/>
    <mergeCell ref="W28:AC28"/>
    <mergeCell ref="AD28:AJ28"/>
    <mergeCell ref="W29:AC29"/>
    <mergeCell ref="AD29:AJ29"/>
    <mergeCell ref="AK29:AM29"/>
    <mergeCell ref="A24:H24"/>
    <mergeCell ref="A25:H25"/>
    <mergeCell ref="P26:V26"/>
    <mergeCell ref="W26:AC26"/>
    <mergeCell ref="AD26:AJ26"/>
    <mergeCell ref="AK26:AM26"/>
    <mergeCell ref="AK28:AM28"/>
    <mergeCell ref="A26:H29"/>
    <mergeCell ref="I29:O29"/>
    <mergeCell ref="B31:H34"/>
    <mergeCell ref="I31:J34"/>
    <mergeCell ref="K31:Q32"/>
    <mergeCell ref="B35:H35"/>
    <mergeCell ref="I35:J35"/>
    <mergeCell ref="I28:O28"/>
    <mergeCell ref="P28:V28"/>
    <mergeCell ref="P29:V29"/>
    <mergeCell ref="R31:X32"/>
    <mergeCell ref="Y31:AE32"/>
    <mergeCell ref="AF31:AL32"/>
    <mergeCell ref="AM31:AO32"/>
    <mergeCell ref="AP33:AP34"/>
    <mergeCell ref="AS39:AV39"/>
    <mergeCell ref="AS38:AV38"/>
    <mergeCell ref="B43:H43"/>
    <mergeCell ref="I43:J43"/>
    <mergeCell ref="AS37:AV37"/>
    <mergeCell ref="AS40:AV40"/>
    <mergeCell ref="AS41:AV41"/>
    <mergeCell ref="AS42:AV42"/>
    <mergeCell ref="AS43:AV43"/>
  </mergeCells>
  <dataValidations>
    <dataValidation type="list" allowBlank="1" showErrorMessage="1" sqref="C10">
      <formula1>Sheet1!$AR$1:$AT$14</formula1>
    </dataValidation>
  </dataValidations>
  <drawing r:id="rId1"/>
</worksheet>
</file>